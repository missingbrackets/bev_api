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it - Repos\Birds Eye View API testing\03_Analysis\"/>
    </mc:Choice>
  </mc:AlternateContent>
  <xr:revisionPtr revIDLastSave="0" documentId="13_ncr:1_{7C1E6278-F577-4621-82B6-25A44B94A532}" xr6:coauthVersionLast="47" xr6:coauthVersionMax="47" xr10:uidLastSave="{00000000-0000-0000-0000-000000000000}"/>
  <bookViews>
    <workbookView xWindow="-14880" yWindow="-14400" windowWidth="25600" windowHeight="13800" activeTab="1" xr2:uid="{00000000-000D-0000-FFFF-FFFF00000000}"/>
  </bookViews>
  <sheets>
    <sheet name="stage" sheetId="1" r:id="rId1"/>
    <sheet name="prod" sheetId="2" r:id="rId2"/>
    <sheet name="comparison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2" i="3"/>
</calcChain>
</file>

<file path=xl/sharedStrings.xml><?xml version="1.0" encoding="utf-8"?>
<sst xmlns="http://schemas.openxmlformats.org/spreadsheetml/2006/main" count="1101" uniqueCount="110">
  <si>
    <t>index</t>
  </si>
  <si>
    <t>peril</t>
  </si>
  <si>
    <t>threshold</t>
  </si>
  <si>
    <t>value</t>
  </si>
  <si>
    <t>env</t>
  </si>
  <si>
    <t>Rain</t>
  </si>
  <si>
    <t>0</t>
  </si>
  <si>
    <t>stage</t>
  </si>
  <si>
    <t>1</t>
  </si>
  <si>
    <t>2</t>
  </si>
  <si>
    <t>3</t>
  </si>
  <si>
    <t>4</t>
  </si>
  <si>
    <t>Max Wind Speed</t>
  </si>
  <si>
    <t>5</t>
  </si>
  <si>
    <t>10</t>
  </si>
  <si>
    <t>15</t>
  </si>
  <si>
    <t>20</t>
  </si>
  <si>
    <t>Max Wind Gust</t>
  </si>
  <si>
    <t>25</t>
  </si>
  <si>
    <t>30</t>
  </si>
  <si>
    <t>35</t>
  </si>
  <si>
    <t>40</t>
  </si>
  <si>
    <t>45</t>
  </si>
  <si>
    <t>Lightning</t>
  </si>
  <si>
    <t>Low</t>
  </si>
  <si>
    <t>Moderate</t>
  </si>
  <si>
    <t>Severe</t>
  </si>
  <si>
    <t>Extreme</t>
  </si>
  <si>
    <t>6</t>
  </si>
  <si>
    <t>7</t>
  </si>
  <si>
    <t>8</t>
  </si>
  <si>
    <t>9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</si>
  <si>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</si>
  <si>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</si>
  <si>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</si>
  <si>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</si>
  <si>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</si>
  <si>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</si>
  <si>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</si>
  <si>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</si>
  <si>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</si>
  <si>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</si>
  <si>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</si>
  <si>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</si>
  <si>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</si>
  <si>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0.0</t>
  </si>
  <si>
    <t>prod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</si>
  <si>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</si>
  <si>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</si>
  <si>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</si>
  <si>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</si>
  <si>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</si>
  <si>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</si>
  <si>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</si>
  <si>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</si>
  <si>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</si>
  <si>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</si>
  <si>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15.0</t>
  </si>
  <si>
    <t>20.0</t>
  </si>
  <si>
    <t>25.0</t>
  </si>
  <si>
    <t>30.0</t>
  </si>
  <si>
    <t>34.76557818511366</t>
  </si>
  <si>
    <t>MaxWindSpeed</t>
  </si>
  <si>
    <t>28.023798561970576</t>
  </si>
  <si>
    <t>MaxWindGust</t>
  </si>
  <si>
    <t>35.0</t>
  </si>
  <si>
    <t>40.0</t>
  </si>
  <si>
    <t>45.0</t>
  </si>
  <si>
    <t>46.662285457020424</t>
  </si>
  <si>
    <t>50.0</t>
  </si>
  <si>
    <t>55.0</t>
  </si>
  <si>
    <t>60.0</t>
  </si>
  <si>
    <t>65.0</t>
  </si>
  <si>
    <t>70.0</t>
  </si>
  <si>
    <t>75.0</t>
  </si>
  <si>
    <t>80.0</t>
  </si>
  <si>
    <t>82.78671957794266</t>
  </si>
  <si>
    <t>25.94438839867491</t>
  </si>
  <si>
    <t>85.0</t>
  </si>
  <si>
    <t>90.0</t>
  </si>
  <si>
    <t>92.36850501762986</t>
  </si>
  <si>
    <t>15.153845447078893</t>
  </si>
  <si>
    <t>47.48829790825754</t>
  </si>
  <si>
    <t>peril_stage</t>
  </si>
  <si>
    <t>peril_prod</t>
  </si>
  <si>
    <t>closest_prod_threshold</t>
  </si>
  <si>
    <t>value_stage</t>
  </si>
  <si>
    <t>value_prod</t>
  </si>
  <si>
    <t>metric</t>
  </si>
  <si>
    <t>stage_elapsed_seconds</t>
  </si>
  <si>
    <t>6.78</t>
  </si>
  <si>
    <t>prod_elapsed_seconds</t>
  </si>
  <si>
    <t>4.42</t>
  </si>
  <si>
    <t>total_elapsed_seconds</t>
  </si>
  <si>
    <t>11.19</t>
  </si>
  <si>
    <t>stage_perils</t>
  </si>
  <si>
    <t>Rain, Max Wind Speed, Max Wind Gust, Lightning</t>
  </si>
  <si>
    <t>prod_perils</t>
  </si>
  <si>
    <t>Rain, MaxWindSpeed, MaxWindGust, Lightning</t>
  </si>
  <si>
    <t>num_perils</t>
  </si>
  <si>
    <t>num_locations</t>
  </si>
  <si>
    <t>--- Locations ---</t>
  </si>
  <si>
    <t>index_0</t>
  </si>
  <si>
    <t>San Juan Nonualco, La Paz, El Salvador (2026-02-04 to 2026-02-04)</t>
  </si>
  <si>
    <t>index_1</t>
  </si>
  <si>
    <t>Bystrzyca Klodzka, Dolnoslaskie, Poland (2026-02-04 to 2026-02-04)</t>
  </si>
  <si>
    <t>index_2</t>
  </si>
  <si>
    <t>Manaure, La Guajira, Colombia (2026-02-04 to 2026-02-04)</t>
  </si>
  <si>
    <t>value_prod_perc</t>
  </si>
  <si>
    <t>ABS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</si>
</sst>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 t="s">
        <v>5</v>
      </c>
      <c r="C2" t="s">
        <v>6</v>
      </c>
      <c r="D2">
        <v>0.54245200000000005</v>
      </c>
      <c r="E2" t="s">
        <v>7</v>
      </c>
    </row>
    <row r="3" spans="1:5" x14ac:dyDescent="0.35">
      <c r="A3">
        <v>0</v>
      </c>
      <c r="B3" t="s">
        <v>5</v>
      </c>
      <c r="C3" t="s">
        <v>8</v>
      </c>
      <c r="D3">
        <v>9.5000000000000639E-3</v>
      </c>
      <c r="E3" t="s">
        <v>7</v>
      </c>
    </row>
    <row r="4" spans="1:5" x14ac:dyDescent="0.35">
      <c r="A4">
        <v>0</v>
      </c>
      <c r="B4" t="s">
        <v>5</v>
      </c>
      <c r="C4" t="s">
        <v>9</v>
      </c>
      <c r="D4">
        <v>2.0560000000000582E-3</v>
      </c>
      <c r="E4" t="s">
        <v>7</v>
      </c>
    </row>
    <row r="5" spans="1:5" x14ac:dyDescent="0.35">
      <c r="A5">
        <v>0</v>
      </c>
      <c r="B5" t="s">
        <v>5</v>
      </c>
      <c r="C5" t="s">
        <v>10</v>
      </c>
      <c r="D5">
        <v>1.0740000000000189E-3</v>
      </c>
      <c r="E5" t="s">
        <v>7</v>
      </c>
    </row>
    <row r="6" spans="1:5" x14ac:dyDescent="0.35">
      <c r="A6">
        <v>0</v>
      </c>
      <c r="B6" t="s">
        <v>5</v>
      </c>
      <c r="C6" t="s">
        <v>11</v>
      </c>
      <c r="D6">
        <v>1.0430000000000159E-3</v>
      </c>
      <c r="E6" t="s">
        <v>7</v>
      </c>
    </row>
    <row r="7" spans="1:5" x14ac:dyDescent="0.35">
      <c r="A7">
        <v>0</v>
      </c>
      <c r="B7" t="s">
        <v>12</v>
      </c>
      <c r="C7" t="s">
        <v>6</v>
      </c>
      <c r="D7">
        <v>0.99993799999999999</v>
      </c>
      <c r="E7" t="s">
        <v>7</v>
      </c>
    </row>
    <row r="8" spans="1:5" x14ac:dyDescent="0.35">
      <c r="A8">
        <v>0</v>
      </c>
      <c r="B8" t="s">
        <v>12</v>
      </c>
      <c r="C8" t="s">
        <v>13</v>
      </c>
      <c r="D8">
        <v>0.99891200000000002</v>
      </c>
      <c r="E8" t="s">
        <v>7</v>
      </c>
    </row>
    <row r="9" spans="1:5" x14ac:dyDescent="0.35">
      <c r="A9">
        <v>0</v>
      </c>
      <c r="B9" t="s">
        <v>12</v>
      </c>
      <c r="C9" t="s">
        <v>14</v>
      </c>
      <c r="D9">
        <v>0.28246100000000002</v>
      </c>
      <c r="E9" t="s">
        <v>7</v>
      </c>
    </row>
    <row r="10" spans="1:5" x14ac:dyDescent="0.35">
      <c r="A10">
        <v>0</v>
      </c>
      <c r="B10" t="s">
        <v>12</v>
      </c>
      <c r="C10" t="s">
        <v>15</v>
      </c>
      <c r="D10">
        <v>1.641999999999999E-2</v>
      </c>
      <c r="E10" t="s">
        <v>7</v>
      </c>
    </row>
    <row r="11" spans="1:5" x14ac:dyDescent="0.35">
      <c r="A11">
        <v>0</v>
      </c>
      <c r="B11" t="s">
        <v>12</v>
      </c>
      <c r="C11" t="s">
        <v>16</v>
      </c>
      <c r="D11">
        <v>5.5899999999997618E-4</v>
      </c>
      <c r="E11" t="s">
        <v>7</v>
      </c>
    </row>
    <row r="12" spans="1:5" x14ac:dyDescent="0.35">
      <c r="A12">
        <v>0</v>
      </c>
      <c r="B12" t="s">
        <v>17</v>
      </c>
      <c r="C12" t="s">
        <v>6</v>
      </c>
      <c r="D12">
        <v>0.99993799999999999</v>
      </c>
      <c r="E12" t="s">
        <v>7</v>
      </c>
    </row>
    <row r="13" spans="1:5" x14ac:dyDescent="0.35">
      <c r="A13">
        <v>0</v>
      </c>
      <c r="B13" t="s">
        <v>17</v>
      </c>
      <c r="C13" t="s">
        <v>13</v>
      </c>
      <c r="D13">
        <v>0.99993799999999999</v>
      </c>
      <c r="E13" t="s">
        <v>7</v>
      </c>
    </row>
    <row r="14" spans="1:5" x14ac:dyDescent="0.35">
      <c r="A14">
        <v>0</v>
      </c>
      <c r="B14" t="s">
        <v>17</v>
      </c>
      <c r="C14" t="s">
        <v>14</v>
      </c>
      <c r="D14">
        <v>0.99993799999999999</v>
      </c>
      <c r="E14" t="s">
        <v>7</v>
      </c>
    </row>
    <row r="15" spans="1:5" x14ac:dyDescent="0.35">
      <c r="A15">
        <v>0</v>
      </c>
      <c r="B15" t="s">
        <v>17</v>
      </c>
      <c r="C15" t="s">
        <v>15</v>
      </c>
      <c r="D15">
        <v>0.982935</v>
      </c>
      <c r="E15" t="s">
        <v>7</v>
      </c>
    </row>
    <row r="16" spans="1:5" x14ac:dyDescent="0.35">
      <c r="A16">
        <v>0</v>
      </c>
      <c r="B16" t="s">
        <v>17</v>
      </c>
      <c r="C16" t="s">
        <v>16</v>
      </c>
      <c r="D16">
        <v>0.52821400000000007</v>
      </c>
      <c r="E16" t="s">
        <v>7</v>
      </c>
    </row>
    <row r="17" spans="1:5" x14ac:dyDescent="0.35">
      <c r="A17">
        <v>0</v>
      </c>
      <c r="B17" t="s">
        <v>17</v>
      </c>
      <c r="C17" t="s">
        <v>18</v>
      </c>
      <c r="D17">
        <v>9.4358000000000053E-2</v>
      </c>
      <c r="E17" t="s">
        <v>7</v>
      </c>
    </row>
    <row r="18" spans="1:5" x14ac:dyDescent="0.35">
      <c r="A18">
        <v>0</v>
      </c>
      <c r="B18" t="s">
        <v>17</v>
      </c>
      <c r="C18" t="s">
        <v>19</v>
      </c>
      <c r="D18">
        <v>1.5848999999999999E-2</v>
      </c>
      <c r="E18" t="s">
        <v>7</v>
      </c>
    </row>
    <row r="19" spans="1:5" x14ac:dyDescent="0.35">
      <c r="A19">
        <v>0</v>
      </c>
      <c r="B19" t="s">
        <v>17</v>
      </c>
      <c r="C19" t="s">
        <v>20</v>
      </c>
      <c r="D19">
        <v>2.9980000000000562E-3</v>
      </c>
      <c r="E19" t="s">
        <v>7</v>
      </c>
    </row>
    <row r="20" spans="1:5" x14ac:dyDescent="0.35">
      <c r="A20">
        <v>0</v>
      </c>
      <c r="B20" t="s">
        <v>17</v>
      </c>
      <c r="C20" t="s">
        <v>21</v>
      </c>
      <c r="D20">
        <v>4.009999999999847E-4</v>
      </c>
      <c r="E20" t="s">
        <v>7</v>
      </c>
    </row>
    <row r="21" spans="1:5" x14ac:dyDescent="0.35">
      <c r="A21">
        <v>0</v>
      </c>
      <c r="B21" t="s">
        <v>17</v>
      </c>
      <c r="C21" t="s">
        <v>22</v>
      </c>
      <c r="D21">
        <v>1.0000000000287561E-6</v>
      </c>
      <c r="E21" t="s">
        <v>7</v>
      </c>
    </row>
    <row r="22" spans="1:5" x14ac:dyDescent="0.35">
      <c r="A22">
        <v>0</v>
      </c>
      <c r="B22" t="s">
        <v>23</v>
      </c>
      <c r="C22" t="s">
        <v>24</v>
      </c>
      <c r="D22">
        <v>2.9491999999999959E-2</v>
      </c>
      <c r="E22" t="s">
        <v>7</v>
      </c>
    </row>
    <row r="23" spans="1:5" x14ac:dyDescent="0.35">
      <c r="A23">
        <v>0</v>
      </c>
      <c r="B23" t="s">
        <v>23</v>
      </c>
      <c r="C23" t="s">
        <v>25</v>
      </c>
      <c r="D23">
        <v>1.2824999999999981E-2</v>
      </c>
      <c r="E23" t="s">
        <v>7</v>
      </c>
    </row>
    <row r="24" spans="1:5" x14ac:dyDescent="0.35">
      <c r="A24">
        <v>0</v>
      </c>
      <c r="B24" t="s">
        <v>23</v>
      </c>
      <c r="C24" t="s">
        <v>26</v>
      </c>
      <c r="D24">
        <v>1.1785000000000051E-2</v>
      </c>
      <c r="E24" t="s">
        <v>7</v>
      </c>
    </row>
    <row r="25" spans="1:5" x14ac:dyDescent="0.35">
      <c r="A25">
        <v>0</v>
      </c>
      <c r="B25" t="s">
        <v>23</v>
      </c>
      <c r="C25" t="s">
        <v>27</v>
      </c>
      <c r="D25">
        <v>1.0000000000287561E-6</v>
      </c>
      <c r="E25" t="s">
        <v>7</v>
      </c>
    </row>
    <row r="26" spans="1:5" x14ac:dyDescent="0.35">
      <c r="A26">
        <v>2</v>
      </c>
      <c r="B26" t="s">
        <v>5</v>
      </c>
      <c r="C26" t="s">
        <v>6</v>
      </c>
      <c r="D26">
        <v>0.54410000000000003</v>
      </c>
      <c r="E26" t="s">
        <v>7</v>
      </c>
    </row>
    <row r="27" spans="1:5" x14ac:dyDescent="0.35">
      <c r="A27">
        <v>2</v>
      </c>
      <c r="B27" t="s">
        <v>5</v>
      </c>
      <c r="C27" t="s">
        <v>8</v>
      </c>
      <c r="D27">
        <v>1.5828999999999979E-2</v>
      </c>
      <c r="E27" t="s">
        <v>7</v>
      </c>
    </row>
    <row r="28" spans="1:5" x14ac:dyDescent="0.35">
      <c r="A28">
        <v>2</v>
      </c>
      <c r="B28" t="s">
        <v>5</v>
      </c>
      <c r="C28" t="s">
        <v>9</v>
      </c>
      <c r="D28">
        <v>8.7749999999999773E-3</v>
      </c>
      <c r="E28" t="s">
        <v>7</v>
      </c>
    </row>
    <row r="29" spans="1:5" x14ac:dyDescent="0.35">
      <c r="A29">
        <v>2</v>
      </c>
      <c r="B29" t="s">
        <v>5</v>
      </c>
      <c r="C29" t="s">
        <v>10</v>
      </c>
      <c r="D29">
        <v>3.808000000000034E-3</v>
      </c>
      <c r="E29" t="s">
        <v>7</v>
      </c>
    </row>
    <row r="30" spans="1:5" x14ac:dyDescent="0.35">
      <c r="A30">
        <v>2</v>
      </c>
      <c r="B30" t="s">
        <v>5</v>
      </c>
      <c r="C30" t="s">
        <v>11</v>
      </c>
      <c r="D30">
        <v>2.2340000000000688E-3</v>
      </c>
      <c r="E30" t="s">
        <v>7</v>
      </c>
    </row>
    <row r="31" spans="1:5" x14ac:dyDescent="0.35">
      <c r="A31">
        <v>2</v>
      </c>
      <c r="B31" t="s">
        <v>5</v>
      </c>
      <c r="C31" t="s">
        <v>13</v>
      </c>
      <c r="D31">
        <v>1.2149999999999661E-3</v>
      </c>
      <c r="E31" t="s">
        <v>7</v>
      </c>
    </row>
    <row r="32" spans="1:5" x14ac:dyDescent="0.35">
      <c r="A32">
        <v>2</v>
      </c>
      <c r="B32" t="s">
        <v>5</v>
      </c>
      <c r="C32" t="s">
        <v>28</v>
      </c>
      <c r="D32">
        <v>1.2070000000000689E-3</v>
      </c>
      <c r="E32" t="s">
        <v>7</v>
      </c>
    </row>
    <row r="33" spans="1:5" x14ac:dyDescent="0.35">
      <c r="A33">
        <v>2</v>
      </c>
      <c r="B33" t="s">
        <v>5</v>
      </c>
      <c r="C33" t="s">
        <v>29</v>
      </c>
      <c r="D33">
        <v>1.1980000000000319E-3</v>
      </c>
      <c r="E33" t="s">
        <v>7</v>
      </c>
    </row>
    <row r="34" spans="1:5" x14ac:dyDescent="0.35">
      <c r="A34">
        <v>2</v>
      </c>
      <c r="B34" t="s">
        <v>5</v>
      </c>
      <c r="C34" t="s">
        <v>30</v>
      </c>
      <c r="D34">
        <v>1.1900000000000239E-3</v>
      </c>
      <c r="E34" t="s">
        <v>7</v>
      </c>
    </row>
    <row r="35" spans="1:5" x14ac:dyDescent="0.35">
      <c r="A35">
        <v>2</v>
      </c>
      <c r="B35" t="s">
        <v>5</v>
      </c>
      <c r="C35" t="s">
        <v>31</v>
      </c>
      <c r="D35">
        <v>1.1820000000000159E-3</v>
      </c>
      <c r="E35" t="s">
        <v>7</v>
      </c>
    </row>
    <row r="36" spans="1:5" x14ac:dyDescent="0.35">
      <c r="A36">
        <v>2</v>
      </c>
      <c r="B36" t="s">
        <v>5</v>
      </c>
      <c r="C36" t="s">
        <v>14</v>
      </c>
      <c r="D36">
        <v>1.17299999999998E-3</v>
      </c>
      <c r="E36" t="s">
        <v>7</v>
      </c>
    </row>
    <row r="37" spans="1:5" x14ac:dyDescent="0.35">
      <c r="A37">
        <v>2</v>
      </c>
      <c r="B37" t="s">
        <v>12</v>
      </c>
      <c r="C37" t="s">
        <v>6</v>
      </c>
      <c r="D37">
        <v>0.99993799999999999</v>
      </c>
      <c r="E37" t="s">
        <v>7</v>
      </c>
    </row>
    <row r="38" spans="1:5" x14ac:dyDescent="0.35">
      <c r="A38">
        <v>2</v>
      </c>
      <c r="B38" t="s">
        <v>12</v>
      </c>
      <c r="C38" t="s">
        <v>13</v>
      </c>
      <c r="D38">
        <v>0.99993799999999999</v>
      </c>
      <c r="E38" t="s">
        <v>7</v>
      </c>
    </row>
    <row r="39" spans="1:5" x14ac:dyDescent="0.35">
      <c r="A39">
        <v>2</v>
      </c>
      <c r="B39" t="s">
        <v>12</v>
      </c>
      <c r="C39" t="s">
        <v>14</v>
      </c>
      <c r="D39">
        <v>0.99680500000000005</v>
      </c>
      <c r="E39" t="s">
        <v>7</v>
      </c>
    </row>
    <row r="40" spans="1:5" x14ac:dyDescent="0.35">
      <c r="A40">
        <v>2</v>
      </c>
      <c r="B40" t="s">
        <v>12</v>
      </c>
      <c r="C40" t="s">
        <v>15</v>
      </c>
      <c r="D40">
        <v>0.76190000000000002</v>
      </c>
      <c r="E40" t="s">
        <v>7</v>
      </c>
    </row>
    <row r="41" spans="1:5" x14ac:dyDescent="0.35">
      <c r="A41">
        <v>2</v>
      </c>
      <c r="B41" t="s">
        <v>12</v>
      </c>
      <c r="C41" t="s">
        <v>16</v>
      </c>
      <c r="D41">
        <v>0.171068</v>
      </c>
      <c r="E41" t="s">
        <v>7</v>
      </c>
    </row>
    <row r="42" spans="1:5" x14ac:dyDescent="0.35">
      <c r="A42">
        <v>2</v>
      </c>
      <c r="B42" t="s">
        <v>12</v>
      </c>
      <c r="C42" t="s">
        <v>18</v>
      </c>
      <c r="D42">
        <v>7.2899999999997966E-4</v>
      </c>
      <c r="E42" t="s">
        <v>7</v>
      </c>
    </row>
    <row r="43" spans="1:5" x14ac:dyDescent="0.35">
      <c r="A43">
        <v>2</v>
      </c>
      <c r="B43" t="s">
        <v>17</v>
      </c>
      <c r="C43" t="s">
        <v>6</v>
      </c>
      <c r="D43">
        <v>0.99993799999999999</v>
      </c>
      <c r="E43" t="s">
        <v>7</v>
      </c>
    </row>
    <row r="44" spans="1:5" x14ac:dyDescent="0.35">
      <c r="A44">
        <v>2</v>
      </c>
      <c r="B44" t="s">
        <v>17</v>
      </c>
      <c r="C44" t="s">
        <v>13</v>
      </c>
      <c r="D44">
        <v>0.99993799999999999</v>
      </c>
      <c r="E44" t="s">
        <v>7</v>
      </c>
    </row>
    <row r="45" spans="1:5" x14ac:dyDescent="0.35">
      <c r="A45">
        <v>2</v>
      </c>
      <c r="B45" t="s">
        <v>17</v>
      </c>
      <c r="C45" t="s">
        <v>14</v>
      </c>
      <c r="D45">
        <v>0.99993799999999999</v>
      </c>
      <c r="E45" t="s">
        <v>7</v>
      </c>
    </row>
    <row r="46" spans="1:5" x14ac:dyDescent="0.35">
      <c r="A46">
        <v>2</v>
      </c>
      <c r="B46" t="s">
        <v>17</v>
      </c>
      <c r="C46" t="s">
        <v>15</v>
      </c>
      <c r="D46">
        <v>0.99993799999999999</v>
      </c>
      <c r="E46" t="s">
        <v>7</v>
      </c>
    </row>
    <row r="47" spans="1:5" x14ac:dyDescent="0.35">
      <c r="A47">
        <v>2</v>
      </c>
      <c r="B47" t="s">
        <v>17</v>
      </c>
      <c r="C47" t="s">
        <v>16</v>
      </c>
      <c r="D47">
        <v>0.977379</v>
      </c>
      <c r="E47" t="s">
        <v>7</v>
      </c>
    </row>
    <row r="48" spans="1:5" x14ac:dyDescent="0.35">
      <c r="A48">
        <v>2</v>
      </c>
      <c r="B48" t="s">
        <v>17</v>
      </c>
      <c r="C48" t="s">
        <v>18</v>
      </c>
      <c r="D48">
        <v>0.80764900000000006</v>
      </c>
      <c r="E48" t="s">
        <v>7</v>
      </c>
    </row>
    <row r="49" spans="1:5" x14ac:dyDescent="0.35">
      <c r="A49">
        <v>2</v>
      </c>
      <c r="B49" t="s">
        <v>17</v>
      </c>
      <c r="C49" t="s">
        <v>19</v>
      </c>
      <c r="D49">
        <v>0.47874800000000001</v>
      </c>
      <c r="E49" t="s">
        <v>7</v>
      </c>
    </row>
    <row r="50" spans="1:5" x14ac:dyDescent="0.35">
      <c r="A50">
        <v>2</v>
      </c>
      <c r="B50" t="s">
        <v>17</v>
      </c>
      <c r="C50" t="s">
        <v>20</v>
      </c>
      <c r="D50">
        <v>0.13314999999999999</v>
      </c>
      <c r="E50" t="s">
        <v>7</v>
      </c>
    </row>
    <row r="51" spans="1:5" x14ac:dyDescent="0.35">
      <c r="A51">
        <v>2</v>
      </c>
      <c r="B51" t="s">
        <v>17</v>
      </c>
      <c r="C51" t="s">
        <v>21</v>
      </c>
      <c r="D51">
        <v>9.4940000000000024E-3</v>
      </c>
      <c r="E51" t="s">
        <v>7</v>
      </c>
    </row>
    <row r="52" spans="1:5" x14ac:dyDescent="0.35">
      <c r="A52">
        <v>2</v>
      </c>
      <c r="B52" t="s">
        <v>17</v>
      </c>
      <c r="C52" t="s">
        <v>22</v>
      </c>
      <c r="D52">
        <v>1.0000000000287561E-6</v>
      </c>
      <c r="E52" t="s">
        <v>7</v>
      </c>
    </row>
    <row r="53" spans="1:5" x14ac:dyDescent="0.35">
      <c r="A53">
        <v>2</v>
      </c>
      <c r="B53" t="s">
        <v>23</v>
      </c>
      <c r="C53" t="s">
        <v>24</v>
      </c>
      <c r="D53">
        <v>5.4939999999999989E-3</v>
      </c>
      <c r="E53" t="s">
        <v>7</v>
      </c>
    </row>
    <row r="54" spans="1:5" x14ac:dyDescent="0.35">
      <c r="A54">
        <v>2</v>
      </c>
      <c r="B54" t="s">
        <v>23</v>
      </c>
      <c r="C54" t="s">
        <v>25</v>
      </c>
      <c r="D54">
        <v>1.0000000000287561E-6</v>
      </c>
      <c r="E54" t="s">
        <v>7</v>
      </c>
    </row>
    <row r="55" spans="1:5" x14ac:dyDescent="0.35">
      <c r="A55">
        <v>2</v>
      </c>
      <c r="B55" t="s">
        <v>23</v>
      </c>
      <c r="C55" t="s">
        <v>26</v>
      </c>
      <c r="D55">
        <v>1.0000000000287561E-6</v>
      </c>
      <c r="E55" t="s">
        <v>7</v>
      </c>
    </row>
    <row r="56" spans="1:5" x14ac:dyDescent="0.35">
      <c r="A56">
        <v>2</v>
      </c>
      <c r="B56" t="s">
        <v>23</v>
      </c>
      <c r="C56" t="s">
        <v>27</v>
      </c>
      <c r="D56">
        <v>1.0000000000287561E-6</v>
      </c>
      <c r="E56" t="s">
        <v>7</v>
      </c>
    </row>
    <row r="57" spans="1:5" x14ac:dyDescent="0.35">
      <c r="A57">
        <v>1</v>
      </c>
      <c r="B57" t="s">
        <v>5</v>
      </c>
      <c r="C57" t="s">
        <v>6</v>
      </c>
      <c r="D57">
        <v>0.70595000000000008</v>
      </c>
      <c r="E57" t="s">
        <v>7</v>
      </c>
    </row>
    <row r="58" spans="1:5" x14ac:dyDescent="0.35">
      <c r="A58">
        <v>1</v>
      </c>
      <c r="B58" t="s">
        <v>5</v>
      </c>
      <c r="C58" t="s">
        <v>8</v>
      </c>
      <c r="D58">
        <v>0.36586700000000011</v>
      </c>
      <c r="E58" t="s">
        <v>7</v>
      </c>
    </row>
    <row r="59" spans="1:5" x14ac:dyDescent="0.35">
      <c r="A59">
        <v>1</v>
      </c>
      <c r="B59" t="s">
        <v>5</v>
      </c>
      <c r="C59" t="s">
        <v>9</v>
      </c>
      <c r="D59">
        <v>0.27748400000000001</v>
      </c>
      <c r="E59" t="s">
        <v>7</v>
      </c>
    </row>
    <row r="60" spans="1:5" x14ac:dyDescent="0.35">
      <c r="A60">
        <v>1</v>
      </c>
      <c r="B60" t="s">
        <v>5</v>
      </c>
      <c r="C60" t="s">
        <v>10</v>
      </c>
      <c r="D60">
        <v>0.216997</v>
      </c>
      <c r="E60" t="s">
        <v>7</v>
      </c>
    </row>
    <row r="61" spans="1:5" x14ac:dyDescent="0.35">
      <c r="A61">
        <v>1</v>
      </c>
      <c r="B61" t="s">
        <v>5</v>
      </c>
      <c r="C61" t="s">
        <v>11</v>
      </c>
      <c r="D61">
        <v>0.17056099999999999</v>
      </c>
      <c r="E61" t="s">
        <v>7</v>
      </c>
    </row>
    <row r="62" spans="1:5" x14ac:dyDescent="0.35">
      <c r="A62">
        <v>1</v>
      </c>
      <c r="B62" t="s">
        <v>5</v>
      </c>
      <c r="C62" t="s">
        <v>13</v>
      </c>
      <c r="D62">
        <v>0.13511899999999999</v>
      </c>
      <c r="E62" t="s">
        <v>7</v>
      </c>
    </row>
    <row r="63" spans="1:5" x14ac:dyDescent="0.35">
      <c r="A63">
        <v>1</v>
      </c>
      <c r="B63" t="s">
        <v>5</v>
      </c>
      <c r="C63" t="s">
        <v>28</v>
      </c>
      <c r="D63">
        <v>0.10452699999999999</v>
      </c>
      <c r="E63" t="s">
        <v>7</v>
      </c>
    </row>
    <row r="64" spans="1:5" x14ac:dyDescent="0.35">
      <c r="A64">
        <v>1</v>
      </c>
      <c r="B64" t="s">
        <v>5</v>
      </c>
      <c r="C64" t="s">
        <v>29</v>
      </c>
      <c r="D64">
        <v>8.1347000000000058E-2</v>
      </c>
      <c r="E64" t="s">
        <v>7</v>
      </c>
    </row>
    <row r="65" spans="1:5" x14ac:dyDescent="0.35">
      <c r="A65">
        <v>1</v>
      </c>
      <c r="B65" t="s">
        <v>5</v>
      </c>
      <c r="C65" t="s">
        <v>30</v>
      </c>
      <c r="D65">
        <v>6.085700000000005E-2</v>
      </c>
      <c r="E65" t="s">
        <v>7</v>
      </c>
    </row>
    <row r="66" spans="1:5" x14ac:dyDescent="0.35">
      <c r="A66">
        <v>1</v>
      </c>
      <c r="B66" t="s">
        <v>5</v>
      </c>
      <c r="C66" t="s">
        <v>31</v>
      </c>
      <c r="D66">
        <v>4.5020999999999978E-2</v>
      </c>
      <c r="E66" t="s">
        <v>7</v>
      </c>
    </row>
    <row r="67" spans="1:5" x14ac:dyDescent="0.35">
      <c r="A67">
        <v>1</v>
      </c>
      <c r="B67" t="s">
        <v>5</v>
      </c>
      <c r="C67" t="s">
        <v>14</v>
      </c>
      <c r="D67">
        <v>3.1982000000000073E-2</v>
      </c>
      <c r="E67" t="s">
        <v>7</v>
      </c>
    </row>
    <row r="68" spans="1:5" x14ac:dyDescent="0.35">
      <c r="A68">
        <v>1</v>
      </c>
      <c r="B68" t="s">
        <v>5</v>
      </c>
      <c r="C68" t="s">
        <v>15</v>
      </c>
      <c r="D68">
        <v>6.956999999999991E-3</v>
      </c>
      <c r="E68" t="s">
        <v>7</v>
      </c>
    </row>
    <row r="69" spans="1:5" x14ac:dyDescent="0.35">
      <c r="A69">
        <v>1</v>
      </c>
      <c r="B69" t="s">
        <v>5</v>
      </c>
      <c r="C69" t="s">
        <v>16</v>
      </c>
      <c r="D69">
        <v>9.2100000000006066E-4</v>
      </c>
      <c r="E69" t="s">
        <v>7</v>
      </c>
    </row>
    <row r="70" spans="1:5" x14ac:dyDescent="0.35">
      <c r="A70">
        <v>1</v>
      </c>
      <c r="B70" t="s">
        <v>5</v>
      </c>
      <c r="C70" t="s">
        <v>18</v>
      </c>
      <c r="D70">
        <v>1.0000000000287561E-6</v>
      </c>
      <c r="E70" t="s">
        <v>7</v>
      </c>
    </row>
    <row r="71" spans="1:5" x14ac:dyDescent="0.35">
      <c r="A71">
        <v>1</v>
      </c>
      <c r="B71" t="s">
        <v>12</v>
      </c>
      <c r="C71" t="s">
        <v>6</v>
      </c>
      <c r="D71">
        <v>0.99993500000000002</v>
      </c>
      <c r="E71" t="s">
        <v>7</v>
      </c>
    </row>
    <row r="72" spans="1:5" x14ac:dyDescent="0.35">
      <c r="A72">
        <v>1</v>
      </c>
      <c r="B72" t="s">
        <v>12</v>
      </c>
      <c r="C72" t="s">
        <v>13</v>
      </c>
      <c r="D72">
        <v>0.89803699999999997</v>
      </c>
      <c r="E72" t="s">
        <v>7</v>
      </c>
    </row>
    <row r="73" spans="1:5" x14ac:dyDescent="0.35">
      <c r="A73">
        <v>1</v>
      </c>
      <c r="B73" t="s">
        <v>12</v>
      </c>
      <c r="C73" t="s">
        <v>14</v>
      </c>
      <c r="D73">
        <v>0.46512700000000001</v>
      </c>
      <c r="E73" t="s">
        <v>7</v>
      </c>
    </row>
    <row r="74" spans="1:5" x14ac:dyDescent="0.35">
      <c r="A74">
        <v>1</v>
      </c>
      <c r="B74" t="s">
        <v>12</v>
      </c>
      <c r="C74" t="s">
        <v>15</v>
      </c>
      <c r="D74">
        <v>0.15596399999999999</v>
      </c>
      <c r="E74" t="s">
        <v>7</v>
      </c>
    </row>
    <row r="75" spans="1:5" x14ac:dyDescent="0.35">
      <c r="A75">
        <v>1</v>
      </c>
      <c r="B75" t="s">
        <v>12</v>
      </c>
      <c r="C75" t="s">
        <v>16</v>
      </c>
      <c r="D75">
        <v>1.113600000000003E-2</v>
      </c>
      <c r="E75" t="s">
        <v>7</v>
      </c>
    </row>
    <row r="76" spans="1:5" x14ac:dyDescent="0.35">
      <c r="A76">
        <v>1</v>
      </c>
      <c r="B76" t="s">
        <v>12</v>
      </c>
      <c r="C76" t="s">
        <v>18</v>
      </c>
      <c r="D76">
        <v>2.4299999999999319E-4</v>
      </c>
      <c r="E76" t="s">
        <v>7</v>
      </c>
    </row>
    <row r="77" spans="1:5" x14ac:dyDescent="0.35">
      <c r="A77">
        <v>1</v>
      </c>
      <c r="B77" t="s">
        <v>17</v>
      </c>
      <c r="C77" t="s">
        <v>6</v>
      </c>
      <c r="D77">
        <v>0.99989600000000001</v>
      </c>
      <c r="E77" t="s">
        <v>7</v>
      </c>
    </row>
    <row r="78" spans="1:5" x14ac:dyDescent="0.35">
      <c r="A78">
        <v>1</v>
      </c>
      <c r="B78" t="s">
        <v>17</v>
      </c>
      <c r="C78" t="s">
        <v>13</v>
      </c>
      <c r="D78">
        <v>0.99535700000000005</v>
      </c>
      <c r="E78" t="s">
        <v>7</v>
      </c>
    </row>
    <row r="79" spans="1:5" x14ac:dyDescent="0.35">
      <c r="A79">
        <v>1</v>
      </c>
      <c r="B79" t="s">
        <v>17</v>
      </c>
      <c r="C79" t="s">
        <v>14</v>
      </c>
      <c r="D79">
        <v>0.946461</v>
      </c>
      <c r="E79" t="s">
        <v>7</v>
      </c>
    </row>
    <row r="80" spans="1:5" x14ac:dyDescent="0.35">
      <c r="A80">
        <v>1</v>
      </c>
      <c r="B80" t="s">
        <v>17</v>
      </c>
      <c r="C80" t="s">
        <v>15</v>
      </c>
      <c r="D80">
        <v>0.83691400000000005</v>
      </c>
      <c r="E80" t="s">
        <v>7</v>
      </c>
    </row>
    <row r="81" spans="1:5" x14ac:dyDescent="0.35">
      <c r="A81">
        <v>1</v>
      </c>
      <c r="B81" t="s">
        <v>17</v>
      </c>
      <c r="C81" t="s">
        <v>16</v>
      </c>
      <c r="D81">
        <v>0.68331900000000001</v>
      </c>
      <c r="E81" t="s">
        <v>7</v>
      </c>
    </row>
    <row r="82" spans="1:5" x14ac:dyDescent="0.35">
      <c r="A82">
        <v>1</v>
      </c>
      <c r="B82" t="s">
        <v>17</v>
      </c>
      <c r="C82" t="s">
        <v>18</v>
      </c>
      <c r="D82">
        <v>0.50323600000000002</v>
      </c>
      <c r="E82" t="s">
        <v>7</v>
      </c>
    </row>
    <row r="83" spans="1:5" x14ac:dyDescent="0.35">
      <c r="A83">
        <v>1</v>
      </c>
      <c r="B83" t="s">
        <v>17</v>
      </c>
      <c r="C83" t="s">
        <v>19</v>
      </c>
      <c r="D83">
        <v>0.35184399999999999</v>
      </c>
      <c r="E83" t="s">
        <v>7</v>
      </c>
    </row>
    <row r="84" spans="1:5" x14ac:dyDescent="0.35">
      <c r="A84">
        <v>1</v>
      </c>
      <c r="B84" t="s">
        <v>17</v>
      </c>
      <c r="C84" t="s">
        <v>20</v>
      </c>
      <c r="D84">
        <v>0.239038</v>
      </c>
      <c r="E84" t="s">
        <v>7</v>
      </c>
    </row>
    <row r="85" spans="1:5" x14ac:dyDescent="0.35">
      <c r="A85">
        <v>1</v>
      </c>
      <c r="B85" t="s">
        <v>17</v>
      </c>
      <c r="C85" t="s">
        <v>21</v>
      </c>
      <c r="D85">
        <v>0.14332</v>
      </c>
      <c r="E85" t="s">
        <v>7</v>
      </c>
    </row>
    <row r="86" spans="1:5" x14ac:dyDescent="0.35">
      <c r="A86">
        <v>1</v>
      </c>
      <c r="B86" t="s">
        <v>17</v>
      </c>
      <c r="C86" t="s">
        <v>22</v>
      </c>
      <c r="D86">
        <v>7.9123999999999972E-2</v>
      </c>
      <c r="E86" t="s">
        <v>7</v>
      </c>
    </row>
    <row r="87" spans="1:5" x14ac:dyDescent="0.35">
      <c r="A87">
        <v>1</v>
      </c>
      <c r="B87" t="s">
        <v>17</v>
      </c>
      <c r="C87" t="s">
        <v>32</v>
      </c>
      <c r="D87">
        <v>3.6923000000000039E-2</v>
      </c>
      <c r="E87" t="s">
        <v>7</v>
      </c>
    </row>
    <row r="88" spans="1:5" x14ac:dyDescent="0.35">
      <c r="A88">
        <v>1</v>
      </c>
      <c r="B88" t="s">
        <v>17</v>
      </c>
      <c r="C88" t="s">
        <v>33</v>
      </c>
      <c r="D88">
        <v>2.0313000000000029E-2</v>
      </c>
      <c r="E88" t="s">
        <v>7</v>
      </c>
    </row>
    <row r="89" spans="1:5" x14ac:dyDescent="0.35">
      <c r="A89">
        <v>1</v>
      </c>
      <c r="B89" t="s">
        <v>17</v>
      </c>
      <c r="C89" t="s">
        <v>34</v>
      </c>
      <c r="D89">
        <v>1.2066000000000019E-2</v>
      </c>
      <c r="E89" t="s">
        <v>7</v>
      </c>
    </row>
    <row r="90" spans="1:5" x14ac:dyDescent="0.35">
      <c r="A90">
        <v>1</v>
      </c>
      <c r="B90" t="s">
        <v>17</v>
      </c>
      <c r="C90" t="s">
        <v>35</v>
      </c>
      <c r="D90">
        <v>7.1360000000000312E-3</v>
      </c>
      <c r="E90" t="s">
        <v>7</v>
      </c>
    </row>
    <row r="91" spans="1:5" x14ac:dyDescent="0.35">
      <c r="A91">
        <v>1</v>
      </c>
      <c r="B91" t="s">
        <v>17</v>
      </c>
      <c r="C91" t="s">
        <v>36</v>
      </c>
      <c r="D91">
        <v>4.338000000000064E-3</v>
      </c>
      <c r="E91" t="s">
        <v>7</v>
      </c>
    </row>
    <row r="92" spans="1:5" x14ac:dyDescent="0.35">
      <c r="A92">
        <v>1</v>
      </c>
      <c r="B92" t="s">
        <v>17</v>
      </c>
      <c r="C92" t="s">
        <v>37</v>
      </c>
      <c r="D92">
        <v>2.7719999999999971E-3</v>
      </c>
      <c r="E92" t="s">
        <v>7</v>
      </c>
    </row>
    <row r="93" spans="1:5" x14ac:dyDescent="0.35">
      <c r="A93">
        <v>1</v>
      </c>
      <c r="B93" t="s">
        <v>17</v>
      </c>
      <c r="C93" t="s">
        <v>38</v>
      </c>
      <c r="D93">
        <v>1.939000000000024E-3</v>
      </c>
      <c r="E93" t="s">
        <v>7</v>
      </c>
    </row>
    <row r="94" spans="1:5" x14ac:dyDescent="0.35">
      <c r="A94">
        <v>1</v>
      </c>
      <c r="B94" t="s">
        <v>17</v>
      </c>
      <c r="C94" t="s">
        <v>39</v>
      </c>
      <c r="D94">
        <v>1.2429999999999939E-3</v>
      </c>
      <c r="E94" t="s">
        <v>7</v>
      </c>
    </row>
    <row r="95" spans="1:5" x14ac:dyDescent="0.35">
      <c r="A95">
        <v>1</v>
      </c>
      <c r="B95" t="s">
        <v>17</v>
      </c>
      <c r="C95" t="s">
        <v>40</v>
      </c>
      <c r="D95">
        <v>6.4799999999998192E-4</v>
      </c>
      <c r="E95" t="s">
        <v>7</v>
      </c>
    </row>
    <row r="96" spans="1:5" x14ac:dyDescent="0.35">
      <c r="A96">
        <v>1</v>
      </c>
      <c r="B96" t="s">
        <v>17</v>
      </c>
      <c r="C96" t="s">
        <v>41</v>
      </c>
      <c r="D96">
        <v>3.1700000000001172E-4</v>
      </c>
      <c r="E96" t="s">
        <v>7</v>
      </c>
    </row>
    <row r="97" spans="1:5" x14ac:dyDescent="0.35">
      <c r="A97">
        <v>1</v>
      </c>
      <c r="B97" t="s">
        <v>17</v>
      </c>
      <c r="C97" t="s">
        <v>42</v>
      </c>
      <c r="D97">
        <v>2.5500000000000522E-4</v>
      </c>
      <c r="E97" t="s">
        <v>7</v>
      </c>
    </row>
    <row r="98" spans="1:5" x14ac:dyDescent="0.35">
      <c r="A98">
        <v>1</v>
      </c>
      <c r="B98" t="s">
        <v>17</v>
      </c>
      <c r="C98" t="s">
        <v>43</v>
      </c>
      <c r="D98">
        <v>1.4700000000000821E-4</v>
      </c>
      <c r="E98" t="s">
        <v>7</v>
      </c>
    </row>
    <row r="99" spans="1:5" x14ac:dyDescent="0.35">
      <c r="A99">
        <v>1</v>
      </c>
      <c r="B99" t="s">
        <v>17</v>
      </c>
      <c r="C99" t="s">
        <v>44</v>
      </c>
      <c r="D99">
        <v>6.2000000000006494E-5</v>
      </c>
      <c r="E99" t="s">
        <v>7</v>
      </c>
    </row>
    <row r="100" spans="1:5" x14ac:dyDescent="0.35">
      <c r="A100">
        <v>1</v>
      </c>
      <c r="B100" t="s">
        <v>23</v>
      </c>
      <c r="C100" t="s">
        <v>24</v>
      </c>
      <c r="D100">
        <v>6.952999999999987E-3</v>
      </c>
      <c r="E100" t="s">
        <v>7</v>
      </c>
    </row>
    <row r="101" spans="1:5" x14ac:dyDescent="0.35">
      <c r="A101">
        <v>1</v>
      </c>
      <c r="B101" t="s">
        <v>23</v>
      </c>
      <c r="C101" t="s">
        <v>25</v>
      </c>
      <c r="D101">
        <v>6.9230000000000116E-3</v>
      </c>
      <c r="E101" t="s">
        <v>7</v>
      </c>
    </row>
    <row r="102" spans="1:5" x14ac:dyDescent="0.35">
      <c r="A102">
        <v>1</v>
      </c>
      <c r="B102" t="s">
        <v>23</v>
      </c>
      <c r="C102" t="s">
        <v>26</v>
      </c>
      <c r="D102">
        <v>1.0000000000287561E-6</v>
      </c>
      <c r="E102" t="s">
        <v>7</v>
      </c>
    </row>
    <row r="103" spans="1:5" x14ac:dyDescent="0.35">
      <c r="A103">
        <v>1</v>
      </c>
      <c r="B103" t="s">
        <v>23</v>
      </c>
      <c r="C103" t="s">
        <v>27</v>
      </c>
      <c r="D103">
        <v>1.0000000000287561E-6</v>
      </c>
      <c r="E10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0"/>
  <sheetViews>
    <sheetView tabSelected="1" topLeftCell="A89" workbookViewId="0">
      <selection activeCell="J100" sqref="J100"/>
    </sheetView>
  </sheetViews>
  <sheetFormatPr defaultRowHeight="14.5" x14ac:dyDescent="0.35"/>
  <cols>
    <col min="1" max="5" width="15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</v>
      </c>
      <c r="B2" t="s">
        <v>5</v>
      </c>
      <c r="C2" t="s">
        <v>45</v>
      </c>
      <c r="D2">
        <v>59.940399999999997</v>
      </c>
      <c r="E2" t="s">
        <v>46</v>
      </c>
    </row>
    <row r="3" spans="1:5" x14ac:dyDescent="0.35">
      <c r="A3">
        <v>2</v>
      </c>
      <c r="B3" t="s">
        <v>5</v>
      </c>
      <c r="C3" t="s">
        <v>47</v>
      </c>
      <c r="D3">
        <v>3.7650000000000001</v>
      </c>
      <c r="E3" t="s">
        <v>46</v>
      </c>
    </row>
    <row r="4" spans="1:5" x14ac:dyDescent="0.35">
      <c r="A4">
        <v>2</v>
      </c>
      <c r="B4" t="s">
        <v>5</v>
      </c>
      <c r="C4" t="s">
        <v>48</v>
      </c>
      <c r="D4">
        <v>0.91869999999999996</v>
      </c>
      <c r="E4" t="s">
        <v>46</v>
      </c>
    </row>
    <row r="5" spans="1:5" x14ac:dyDescent="0.35">
      <c r="A5">
        <v>2</v>
      </c>
      <c r="B5" t="s">
        <v>5</v>
      </c>
      <c r="C5" t="s">
        <v>49</v>
      </c>
      <c r="D5">
        <v>0.74850000000000005</v>
      </c>
      <c r="E5" t="s">
        <v>46</v>
      </c>
    </row>
    <row r="6" spans="1:5" x14ac:dyDescent="0.35">
      <c r="A6">
        <v>2</v>
      </c>
      <c r="B6" t="s">
        <v>5</v>
      </c>
      <c r="C6" t="s">
        <v>50</v>
      </c>
      <c r="D6">
        <v>0.35270000000000001</v>
      </c>
      <c r="E6" t="s">
        <v>46</v>
      </c>
    </row>
    <row r="7" spans="1:5" x14ac:dyDescent="0.35">
      <c r="A7">
        <v>2</v>
      </c>
      <c r="B7" t="s">
        <v>5</v>
      </c>
      <c r="C7" t="s">
        <v>51</v>
      </c>
      <c r="D7">
        <v>0.22650000000000001</v>
      </c>
      <c r="E7" t="s">
        <v>46</v>
      </c>
    </row>
    <row r="8" spans="1:5" x14ac:dyDescent="0.35">
      <c r="A8">
        <v>2</v>
      </c>
      <c r="B8" t="s">
        <v>5</v>
      </c>
      <c r="C8" t="s">
        <v>52</v>
      </c>
      <c r="D8">
        <v>0.14560000000000001</v>
      </c>
      <c r="E8" t="s">
        <v>46</v>
      </c>
    </row>
    <row r="9" spans="1:5" x14ac:dyDescent="0.35">
      <c r="A9">
        <v>2</v>
      </c>
      <c r="B9" t="s">
        <v>5</v>
      </c>
      <c r="C9" t="s">
        <v>53</v>
      </c>
      <c r="D9">
        <v>9.69E-2</v>
      </c>
      <c r="E9" t="s">
        <v>46</v>
      </c>
    </row>
    <row r="10" spans="1:5" x14ac:dyDescent="0.35">
      <c r="A10">
        <v>2</v>
      </c>
      <c r="B10" t="s">
        <v>5</v>
      </c>
      <c r="C10" t="s">
        <v>54</v>
      </c>
      <c r="D10">
        <v>6.9599999999999995E-2</v>
      </c>
      <c r="E10" t="s">
        <v>46</v>
      </c>
    </row>
    <row r="11" spans="1:5" x14ac:dyDescent="0.35">
      <c r="A11">
        <v>2</v>
      </c>
      <c r="B11" t="s">
        <v>5</v>
      </c>
      <c r="C11" t="s">
        <v>55</v>
      </c>
      <c r="D11">
        <v>5.33E-2</v>
      </c>
      <c r="E11" t="s">
        <v>46</v>
      </c>
    </row>
    <row r="12" spans="1:5" x14ac:dyDescent="0.35">
      <c r="A12">
        <v>2</v>
      </c>
      <c r="B12" t="s">
        <v>5</v>
      </c>
      <c r="C12" t="s">
        <v>56</v>
      </c>
      <c r="D12">
        <v>4.0800000000000003E-2</v>
      </c>
      <c r="E12" t="s">
        <v>46</v>
      </c>
    </row>
    <row r="13" spans="1:5" x14ac:dyDescent="0.35">
      <c r="A13">
        <v>2</v>
      </c>
      <c r="B13" t="s">
        <v>5</v>
      </c>
      <c r="C13" t="s">
        <v>57</v>
      </c>
      <c r="D13">
        <v>7.9000000000000008E-3</v>
      </c>
      <c r="E13" t="s">
        <v>46</v>
      </c>
    </row>
    <row r="14" spans="1:5" x14ac:dyDescent="0.35">
      <c r="A14">
        <v>2</v>
      </c>
      <c r="B14" t="s">
        <v>5</v>
      </c>
      <c r="C14" t="s">
        <v>58</v>
      </c>
      <c r="D14">
        <v>8.0000000000000004E-4</v>
      </c>
      <c r="E14" t="s">
        <v>46</v>
      </c>
    </row>
    <row r="15" spans="1:5" x14ac:dyDescent="0.35">
      <c r="A15">
        <v>2</v>
      </c>
      <c r="B15" t="s">
        <v>5</v>
      </c>
      <c r="C15" t="s">
        <v>59</v>
      </c>
      <c r="D15">
        <v>8.0000000000000004E-4</v>
      </c>
      <c r="E15" t="s">
        <v>46</v>
      </c>
    </row>
    <row r="16" spans="1:5" x14ac:dyDescent="0.35">
      <c r="A16">
        <v>2</v>
      </c>
      <c r="B16" t="s">
        <v>5</v>
      </c>
      <c r="C16" t="s">
        <v>60</v>
      </c>
      <c r="D16">
        <v>5.9999999999999995E-4</v>
      </c>
      <c r="E16" t="s">
        <v>46</v>
      </c>
    </row>
    <row r="17" spans="1:5" x14ac:dyDescent="0.35">
      <c r="A17">
        <v>2</v>
      </c>
      <c r="B17" t="s">
        <v>5</v>
      </c>
      <c r="C17" t="s">
        <v>61</v>
      </c>
      <c r="D17">
        <v>1E-4</v>
      </c>
      <c r="E17" t="s">
        <v>46</v>
      </c>
    </row>
    <row r="18" spans="1:5" x14ac:dyDescent="0.35">
      <c r="A18">
        <v>2</v>
      </c>
      <c r="B18" t="s">
        <v>62</v>
      </c>
      <c r="C18" t="s">
        <v>45</v>
      </c>
      <c r="D18">
        <v>100</v>
      </c>
      <c r="E18" t="s">
        <v>46</v>
      </c>
    </row>
    <row r="19" spans="1:5" x14ac:dyDescent="0.35">
      <c r="A19">
        <v>2</v>
      </c>
      <c r="B19" t="s">
        <v>62</v>
      </c>
      <c r="C19" t="s">
        <v>51</v>
      </c>
      <c r="D19">
        <v>100</v>
      </c>
      <c r="E19" t="s">
        <v>46</v>
      </c>
    </row>
    <row r="20" spans="1:5" x14ac:dyDescent="0.35">
      <c r="A20">
        <v>2</v>
      </c>
      <c r="B20" t="s">
        <v>62</v>
      </c>
      <c r="C20" t="s">
        <v>56</v>
      </c>
      <c r="D20">
        <v>99.632000000000005</v>
      </c>
      <c r="E20" t="s">
        <v>46</v>
      </c>
    </row>
    <row r="21" spans="1:5" x14ac:dyDescent="0.35">
      <c r="A21">
        <v>2</v>
      </c>
      <c r="B21" t="s">
        <v>62</v>
      </c>
      <c r="C21" t="s">
        <v>57</v>
      </c>
      <c r="D21">
        <v>78.401899999999998</v>
      </c>
      <c r="E21" t="s">
        <v>46</v>
      </c>
    </row>
    <row r="22" spans="1:5" x14ac:dyDescent="0.35">
      <c r="A22">
        <v>2</v>
      </c>
      <c r="B22" t="s">
        <v>62</v>
      </c>
      <c r="C22" t="s">
        <v>58</v>
      </c>
      <c r="D22">
        <v>24.2682</v>
      </c>
      <c r="E22" t="s">
        <v>46</v>
      </c>
    </row>
    <row r="23" spans="1:5" x14ac:dyDescent="0.35">
      <c r="A23">
        <v>2</v>
      </c>
      <c r="B23" t="s">
        <v>62</v>
      </c>
      <c r="C23" t="s">
        <v>59</v>
      </c>
      <c r="D23">
        <v>0.60699999999999998</v>
      </c>
      <c r="E23" t="s">
        <v>46</v>
      </c>
    </row>
    <row r="24" spans="1:5" x14ac:dyDescent="0.35">
      <c r="A24">
        <v>2</v>
      </c>
      <c r="B24" t="s">
        <v>62</v>
      </c>
      <c r="C24" t="s">
        <v>63</v>
      </c>
      <c r="D24">
        <v>1E-4</v>
      </c>
      <c r="E24" t="s">
        <v>46</v>
      </c>
    </row>
    <row r="25" spans="1:5" x14ac:dyDescent="0.35">
      <c r="A25">
        <v>2</v>
      </c>
      <c r="B25" t="s">
        <v>64</v>
      </c>
      <c r="C25" t="s">
        <v>45</v>
      </c>
      <c r="D25">
        <v>100</v>
      </c>
      <c r="E25" t="s">
        <v>46</v>
      </c>
    </row>
    <row r="26" spans="1:5" x14ac:dyDescent="0.35">
      <c r="A26">
        <v>2</v>
      </c>
      <c r="B26" t="s">
        <v>64</v>
      </c>
      <c r="C26" t="s">
        <v>51</v>
      </c>
      <c r="D26">
        <v>100</v>
      </c>
      <c r="E26" t="s">
        <v>46</v>
      </c>
    </row>
    <row r="27" spans="1:5" x14ac:dyDescent="0.35">
      <c r="A27">
        <v>2</v>
      </c>
      <c r="B27" t="s">
        <v>64</v>
      </c>
      <c r="C27" t="s">
        <v>56</v>
      </c>
      <c r="D27">
        <v>100</v>
      </c>
      <c r="E27" t="s">
        <v>46</v>
      </c>
    </row>
    <row r="28" spans="1:5" x14ac:dyDescent="0.35">
      <c r="A28">
        <v>2</v>
      </c>
      <c r="B28" t="s">
        <v>64</v>
      </c>
      <c r="C28" t="s">
        <v>57</v>
      </c>
      <c r="D28">
        <v>99.999600000000001</v>
      </c>
      <c r="E28" t="s">
        <v>46</v>
      </c>
    </row>
    <row r="29" spans="1:5" x14ac:dyDescent="0.35">
      <c r="A29">
        <v>2</v>
      </c>
      <c r="B29" t="s">
        <v>64</v>
      </c>
      <c r="C29" t="s">
        <v>58</v>
      </c>
      <c r="D29">
        <v>98.052499999999995</v>
      </c>
      <c r="E29" t="s">
        <v>46</v>
      </c>
    </row>
    <row r="30" spans="1:5" x14ac:dyDescent="0.35">
      <c r="A30">
        <v>2</v>
      </c>
      <c r="B30" t="s">
        <v>64</v>
      </c>
      <c r="C30" t="s">
        <v>59</v>
      </c>
      <c r="D30">
        <v>81.126000000000005</v>
      </c>
      <c r="E30" t="s">
        <v>46</v>
      </c>
    </row>
    <row r="31" spans="1:5" x14ac:dyDescent="0.35">
      <c r="A31">
        <v>2</v>
      </c>
      <c r="B31" t="s">
        <v>64</v>
      </c>
      <c r="C31" t="s">
        <v>60</v>
      </c>
      <c r="D31">
        <v>47.741999999999997</v>
      </c>
      <c r="E31" t="s">
        <v>46</v>
      </c>
    </row>
    <row r="32" spans="1:5" x14ac:dyDescent="0.35">
      <c r="A32">
        <v>2</v>
      </c>
      <c r="B32" t="s">
        <v>64</v>
      </c>
      <c r="C32" t="s">
        <v>65</v>
      </c>
      <c r="D32">
        <v>13.636900000000001</v>
      </c>
      <c r="E32" t="s">
        <v>46</v>
      </c>
    </row>
    <row r="33" spans="1:5" x14ac:dyDescent="0.35">
      <c r="A33">
        <v>2</v>
      </c>
      <c r="B33" t="s">
        <v>64</v>
      </c>
      <c r="C33" t="s">
        <v>66</v>
      </c>
      <c r="D33">
        <v>1.3005</v>
      </c>
      <c r="E33" t="s">
        <v>46</v>
      </c>
    </row>
    <row r="34" spans="1:5" x14ac:dyDescent="0.35">
      <c r="A34">
        <v>2</v>
      </c>
      <c r="B34" t="s">
        <v>64</v>
      </c>
      <c r="C34" t="s">
        <v>67</v>
      </c>
      <c r="D34">
        <v>8.3999999999999995E-3</v>
      </c>
      <c r="E34" t="s">
        <v>46</v>
      </c>
    </row>
    <row r="35" spans="1:5" x14ac:dyDescent="0.35">
      <c r="A35">
        <v>2</v>
      </c>
      <c r="B35" t="s">
        <v>64</v>
      </c>
      <c r="C35" t="s">
        <v>68</v>
      </c>
      <c r="D35">
        <v>1E-4</v>
      </c>
      <c r="E35" t="s">
        <v>46</v>
      </c>
    </row>
    <row r="36" spans="1:5" x14ac:dyDescent="0.35">
      <c r="A36">
        <v>2</v>
      </c>
      <c r="B36" t="s">
        <v>23</v>
      </c>
      <c r="C36" t="s">
        <v>24</v>
      </c>
      <c r="D36">
        <v>0</v>
      </c>
      <c r="E36" t="s">
        <v>46</v>
      </c>
    </row>
    <row r="37" spans="1:5" x14ac:dyDescent="0.35">
      <c r="A37">
        <v>2</v>
      </c>
      <c r="B37" t="s">
        <v>23</v>
      </c>
      <c r="C37" t="s">
        <v>25</v>
      </c>
      <c r="D37">
        <v>0</v>
      </c>
      <c r="E37" t="s">
        <v>46</v>
      </c>
    </row>
    <row r="38" spans="1:5" x14ac:dyDescent="0.35">
      <c r="A38">
        <v>2</v>
      </c>
      <c r="B38" t="s">
        <v>23</v>
      </c>
      <c r="C38" t="s">
        <v>26</v>
      </c>
      <c r="D38">
        <v>0</v>
      </c>
      <c r="E38" t="s">
        <v>46</v>
      </c>
    </row>
    <row r="39" spans="1:5" x14ac:dyDescent="0.35">
      <c r="A39">
        <v>2</v>
      </c>
      <c r="B39" t="s">
        <v>23</v>
      </c>
      <c r="C39" t="s">
        <v>27</v>
      </c>
      <c r="D39">
        <v>0</v>
      </c>
      <c r="E39" t="s">
        <v>46</v>
      </c>
    </row>
    <row r="40" spans="1:5" x14ac:dyDescent="0.35">
      <c r="A40">
        <v>1</v>
      </c>
      <c r="B40" t="s">
        <v>5</v>
      </c>
      <c r="C40" t="s">
        <v>45</v>
      </c>
      <c r="D40">
        <v>81.207599999999999</v>
      </c>
      <c r="E40" t="s">
        <v>46</v>
      </c>
    </row>
    <row r="41" spans="1:5" x14ac:dyDescent="0.35">
      <c r="A41">
        <v>1</v>
      </c>
      <c r="B41" t="s">
        <v>5</v>
      </c>
      <c r="C41" t="s">
        <v>47</v>
      </c>
      <c r="D41">
        <v>55.767200000000003</v>
      </c>
      <c r="E41" t="s">
        <v>46</v>
      </c>
    </row>
    <row r="42" spans="1:5" x14ac:dyDescent="0.35">
      <c r="A42">
        <v>1</v>
      </c>
      <c r="B42" t="s">
        <v>5</v>
      </c>
      <c r="C42" t="s">
        <v>48</v>
      </c>
      <c r="D42">
        <v>38.117899999999999</v>
      </c>
      <c r="E42" t="s">
        <v>46</v>
      </c>
    </row>
    <row r="43" spans="1:5" x14ac:dyDescent="0.35">
      <c r="A43">
        <v>1</v>
      </c>
      <c r="B43" t="s">
        <v>5</v>
      </c>
      <c r="C43" t="s">
        <v>49</v>
      </c>
      <c r="D43">
        <v>27.403400000000001</v>
      </c>
      <c r="E43" t="s">
        <v>46</v>
      </c>
    </row>
    <row r="44" spans="1:5" x14ac:dyDescent="0.35">
      <c r="A44">
        <v>1</v>
      </c>
      <c r="B44" t="s">
        <v>5</v>
      </c>
      <c r="C44" t="s">
        <v>50</v>
      </c>
      <c r="D44">
        <v>20.588200000000001</v>
      </c>
      <c r="E44" t="s">
        <v>46</v>
      </c>
    </row>
    <row r="45" spans="1:5" x14ac:dyDescent="0.35">
      <c r="A45">
        <v>1</v>
      </c>
      <c r="B45" t="s">
        <v>5</v>
      </c>
      <c r="C45" t="s">
        <v>51</v>
      </c>
      <c r="D45">
        <v>15.8406</v>
      </c>
      <c r="E45" t="s">
        <v>46</v>
      </c>
    </row>
    <row r="46" spans="1:5" x14ac:dyDescent="0.35">
      <c r="A46">
        <v>1</v>
      </c>
      <c r="B46" t="s">
        <v>5</v>
      </c>
      <c r="C46" t="s">
        <v>52</v>
      </c>
      <c r="D46">
        <v>12.269600000000001</v>
      </c>
      <c r="E46" t="s">
        <v>46</v>
      </c>
    </row>
    <row r="47" spans="1:5" x14ac:dyDescent="0.35">
      <c r="A47">
        <v>1</v>
      </c>
      <c r="B47" t="s">
        <v>5</v>
      </c>
      <c r="C47" t="s">
        <v>53</v>
      </c>
      <c r="D47">
        <v>9.2951999999999995</v>
      </c>
      <c r="E47" t="s">
        <v>46</v>
      </c>
    </row>
    <row r="48" spans="1:5" x14ac:dyDescent="0.35">
      <c r="A48">
        <v>1</v>
      </c>
      <c r="B48" t="s">
        <v>5</v>
      </c>
      <c r="C48" t="s">
        <v>54</v>
      </c>
      <c r="D48">
        <v>6.5739999999999998</v>
      </c>
      <c r="E48" t="s">
        <v>46</v>
      </c>
    </row>
    <row r="49" spans="1:5" x14ac:dyDescent="0.35">
      <c r="A49">
        <v>1</v>
      </c>
      <c r="B49" t="s">
        <v>5</v>
      </c>
      <c r="C49" t="s">
        <v>55</v>
      </c>
      <c r="D49">
        <v>4.3827999999999996</v>
      </c>
      <c r="E49" t="s">
        <v>46</v>
      </c>
    </row>
    <row r="50" spans="1:5" x14ac:dyDescent="0.35">
      <c r="A50">
        <v>1</v>
      </c>
      <c r="B50" t="s">
        <v>5</v>
      </c>
      <c r="C50" t="s">
        <v>56</v>
      </c>
      <c r="D50">
        <v>2.8407</v>
      </c>
      <c r="E50" t="s">
        <v>46</v>
      </c>
    </row>
    <row r="51" spans="1:5" x14ac:dyDescent="0.35">
      <c r="A51">
        <v>1</v>
      </c>
      <c r="B51" t="s">
        <v>5</v>
      </c>
      <c r="C51" t="s">
        <v>57</v>
      </c>
      <c r="D51">
        <v>0.64080000000000004</v>
      </c>
      <c r="E51" t="s">
        <v>46</v>
      </c>
    </row>
    <row r="52" spans="1:5" x14ac:dyDescent="0.35">
      <c r="A52">
        <v>1</v>
      </c>
      <c r="B52" t="s">
        <v>5</v>
      </c>
      <c r="C52" t="s">
        <v>58</v>
      </c>
      <c r="D52">
        <v>0.24310000000000001</v>
      </c>
      <c r="E52" t="s">
        <v>46</v>
      </c>
    </row>
    <row r="53" spans="1:5" x14ac:dyDescent="0.35">
      <c r="A53">
        <v>1</v>
      </c>
      <c r="B53" t="s">
        <v>5</v>
      </c>
      <c r="C53" t="s">
        <v>59</v>
      </c>
      <c r="D53">
        <v>9.9299999999999999E-2</v>
      </c>
      <c r="E53" t="s">
        <v>46</v>
      </c>
    </row>
    <row r="54" spans="1:5" x14ac:dyDescent="0.35">
      <c r="A54">
        <v>1</v>
      </c>
      <c r="B54" t="s">
        <v>5</v>
      </c>
      <c r="C54" t="s">
        <v>60</v>
      </c>
      <c r="D54">
        <v>4.2799999999999998E-2</v>
      </c>
      <c r="E54" t="s">
        <v>46</v>
      </c>
    </row>
    <row r="55" spans="1:5" x14ac:dyDescent="0.35">
      <c r="A55">
        <v>1</v>
      </c>
      <c r="B55" t="s">
        <v>5</v>
      </c>
      <c r="C55" t="s">
        <v>65</v>
      </c>
      <c r="D55">
        <v>1.46E-2</v>
      </c>
      <c r="E55" t="s">
        <v>46</v>
      </c>
    </row>
    <row r="56" spans="1:5" x14ac:dyDescent="0.35">
      <c r="A56">
        <v>1</v>
      </c>
      <c r="B56" t="s">
        <v>5</v>
      </c>
      <c r="C56" t="s">
        <v>66</v>
      </c>
      <c r="D56">
        <v>1.43E-2</v>
      </c>
      <c r="E56" t="s">
        <v>46</v>
      </c>
    </row>
    <row r="57" spans="1:5" x14ac:dyDescent="0.35">
      <c r="A57">
        <v>1</v>
      </c>
      <c r="B57" t="s">
        <v>5</v>
      </c>
      <c r="C57" t="s">
        <v>67</v>
      </c>
      <c r="D57">
        <v>1.43E-2</v>
      </c>
      <c r="E57" t="s">
        <v>46</v>
      </c>
    </row>
    <row r="58" spans="1:5" x14ac:dyDescent="0.35">
      <c r="A58">
        <v>1</v>
      </c>
      <c r="B58" t="s">
        <v>5</v>
      </c>
      <c r="C58" t="s">
        <v>69</v>
      </c>
      <c r="D58">
        <v>1.43E-2</v>
      </c>
      <c r="E58" t="s">
        <v>46</v>
      </c>
    </row>
    <row r="59" spans="1:5" x14ac:dyDescent="0.35">
      <c r="A59">
        <v>1</v>
      </c>
      <c r="B59" t="s">
        <v>5</v>
      </c>
      <c r="C59" t="s">
        <v>70</v>
      </c>
      <c r="D59">
        <v>7.4000000000000003E-3</v>
      </c>
      <c r="E59" t="s">
        <v>46</v>
      </c>
    </row>
    <row r="60" spans="1:5" x14ac:dyDescent="0.35">
      <c r="A60">
        <v>1</v>
      </c>
      <c r="B60" t="s">
        <v>5</v>
      </c>
      <c r="C60" t="s">
        <v>71</v>
      </c>
      <c r="D60">
        <v>7.3000000000000001E-3</v>
      </c>
      <c r="E60" t="s">
        <v>46</v>
      </c>
    </row>
    <row r="61" spans="1:5" x14ac:dyDescent="0.35">
      <c r="A61">
        <v>1</v>
      </c>
      <c r="B61" t="s">
        <v>5</v>
      </c>
      <c r="C61" t="s">
        <v>72</v>
      </c>
      <c r="D61">
        <v>7.3000000000000001E-3</v>
      </c>
      <c r="E61" t="s">
        <v>46</v>
      </c>
    </row>
    <row r="62" spans="1:5" x14ac:dyDescent="0.35">
      <c r="A62">
        <v>1</v>
      </c>
      <c r="B62" t="s">
        <v>5</v>
      </c>
      <c r="C62" t="s">
        <v>73</v>
      </c>
      <c r="D62">
        <v>7.3000000000000001E-3</v>
      </c>
      <c r="E62" t="s">
        <v>46</v>
      </c>
    </row>
    <row r="63" spans="1:5" x14ac:dyDescent="0.35">
      <c r="A63">
        <v>1</v>
      </c>
      <c r="B63" t="s">
        <v>5</v>
      </c>
      <c r="C63" t="s">
        <v>74</v>
      </c>
      <c r="D63">
        <v>7.3000000000000001E-3</v>
      </c>
      <c r="E63" t="s">
        <v>46</v>
      </c>
    </row>
    <row r="64" spans="1:5" x14ac:dyDescent="0.35">
      <c r="A64">
        <v>1</v>
      </c>
      <c r="B64" t="s">
        <v>5</v>
      </c>
      <c r="C64" t="s">
        <v>75</v>
      </c>
      <c r="D64">
        <v>7.0000000000000001E-3</v>
      </c>
      <c r="E64" t="s">
        <v>46</v>
      </c>
    </row>
    <row r="65" spans="1:5" x14ac:dyDescent="0.35">
      <c r="A65">
        <v>1</v>
      </c>
      <c r="B65" t="s">
        <v>5</v>
      </c>
      <c r="C65" t="s">
        <v>76</v>
      </c>
      <c r="D65">
        <v>1E-4</v>
      </c>
      <c r="E65" t="s">
        <v>46</v>
      </c>
    </row>
    <row r="66" spans="1:5" x14ac:dyDescent="0.35">
      <c r="A66">
        <v>1</v>
      </c>
      <c r="B66" t="s">
        <v>62</v>
      </c>
      <c r="C66" t="s">
        <v>45</v>
      </c>
      <c r="D66">
        <v>99.997500000000002</v>
      </c>
      <c r="E66" t="s">
        <v>46</v>
      </c>
    </row>
    <row r="67" spans="1:5" x14ac:dyDescent="0.35">
      <c r="A67">
        <v>1</v>
      </c>
      <c r="B67" t="s">
        <v>62</v>
      </c>
      <c r="C67" t="s">
        <v>51</v>
      </c>
      <c r="D67">
        <v>83.117800000000003</v>
      </c>
      <c r="E67" t="s">
        <v>46</v>
      </c>
    </row>
    <row r="68" spans="1:5" x14ac:dyDescent="0.35">
      <c r="A68">
        <v>1</v>
      </c>
      <c r="B68" t="s">
        <v>62</v>
      </c>
      <c r="C68" t="s">
        <v>56</v>
      </c>
      <c r="D68">
        <v>34.563800000000001</v>
      </c>
      <c r="E68" t="s">
        <v>46</v>
      </c>
    </row>
    <row r="69" spans="1:5" x14ac:dyDescent="0.35">
      <c r="A69">
        <v>1</v>
      </c>
      <c r="B69" t="s">
        <v>62</v>
      </c>
      <c r="C69" t="s">
        <v>57</v>
      </c>
      <c r="D69">
        <v>5.7046000000000001</v>
      </c>
      <c r="E69" t="s">
        <v>46</v>
      </c>
    </row>
    <row r="70" spans="1:5" x14ac:dyDescent="0.35">
      <c r="A70">
        <v>1</v>
      </c>
      <c r="B70" t="s">
        <v>62</v>
      </c>
      <c r="C70" t="s">
        <v>58</v>
      </c>
      <c r="D70">
        <v>0.1976</v>
      </c>
      <c r="E70" t="s">
        <v>46</v>
      </c>
    </row>
    <row r="71" spans="1:5" x14ac:dyDescent="0.35">
      <c r="A71">
        <v>1</v>
      </c>
      <c r="B71" t="s">
        <v>62</v>
      </c>
      <c r="C71" t="s">
        <v>59</v>
      </c>
      <c r="D71">
        <v>1.6999999999999999E-3</v>
      </c>
      <c r="E71" t="s">
        <v>46</v>
      </c>
    </row>
    <row r="72" spans="1:5" x14ac:dyDescent="0.35">
      <c r="A72">
        <v>1</v>
      </c>
      <c r="B72" t="s">
        <v>62</v>
      </c>
      <c r="C72" t="s">
        <v>77</v>
      </c>
      <c r="D72">
        <v>1E-4</v>
      </c>
      <c r="E72" t="s">
        <v>46</v>
      </c>
    </row>
    <row r="73" spans="1:5" x14ac:dyDescent="0.35">
      <c r="A73">
        <v>1</v>
      </c>
      <c r="B73" t="s">
        <v>64</v>
      </c>
      <c r="C73" t="s">
        <v>45</v>
      </c>
      <c r="D73">
        <v>99.9983</v>
      </c>
      <c r="E73" t="s">
        <v>46</v>
      </c>
    </row>
    <row r="74" spans="1:5" x14ac:dyDescent="0.35">
      <c r="A74">
        <v>1</v>
      </c>
      <c r="B74" t="s">
        <v>64</v>
      </c>
      <c r="C74" t="s">
        <v>51</v>
      </c>
      <c r="D74">
        <v>99.537700000000001</v>
      </c>
      <c r="E74" t="s">
        <v>46</v>
      </c>
    </row>
    <row r="75" spans="1:5" x14ac:dyDescent="0.35">
      <c r="A75">
        <v>1</v>
      </c>
      <c r="B75" t="s">
        <v>64</v>
      </c>
      <c r="C75" t="s">
        <v>56</v>
      </c>
      <c r="D75">
        <v>93.423299999999998</v>
      </c>
      <c r="E75" t="s">
        <v>46</v>
      </c>
    </row>
    <row r="76" spans="1:5" x14ac:dyDescent="0.35">
      <c r="A76">
        <v>1</v>
      </c>
      <c r="B76" t="s">
        <v>64</v>
      </c>
      <c r="C76" t="s">
        <v>57</v>
      </c>
      <c r="D76">
        <v>79.224000000000004</v>
      </c>
      <c r="E76" t="s">
        <v>46</v>
      </c>
    </row>
    <row r="77" spans="1:5" x14ac:dyDescent="0.35">
      <c r="A77">
        <v>1</v>
      </c>
      <c r="B77" t="s">
        <v>64</v>
      </c>
      <c r="C77" t="s">
        <v>58</v>
      </c>
      <c r="D77">
        <v>61.7256</v>
      </c>
      <c r="E77" t="s">
        <v>46</v>
      </c>
    </row>
    <row r="78" spans="1:5" x14ac:dyDescent="0.35">
      <c r="A78">
        <v>1</v>
      </c>
      <c r="B78" t="s">
        <v>64</v>
      </c>
      <c r="C78" t="s">
        <v>59</v>
      </c>
      <c r="D78">
        <v>43.686599999999999</v>
      </c>
      <c r="E78" t="s">
        <v>46</v>
      </c>
    </row>
    <row r="79" spans="1:5" x14ac:dyDescent="0.35">
      <c r="A79">
        <v>1</v>
      </c>
      <c r="B79" t="s">
        <v>64</v>
      </c>
      <c r="C79" t="s">
        <v>60</v>
      </c>
      <c r="D79">
        <v>29.741700000000002</v>
      </c>
      <c r="E79" t="s">
        <v>46</v>
      </c>
    </row>
    <row r="80" spans="1:5" x14ac:dyDescent="0.35">
      <c r="A80">
        <v>1</v>
      </c>
      <c r="B80" t="s">
        <v>64</v>
      </c>
      <c r="C80" t="s">
        <v>65</v>
      </c>
      <c r="D80">
        <v>19.693000000000001</v>
      </c>
      <c r="E80" t="s">
        <v>46</v>
      </c>
    </row>
    <row r="81" spans="1:5" x14ac:dyDescent="0.35">
      <c r="A81">
        <v>1</v>
      </c>
      <c r="B81" t="s">
        <v>64</v>
      </c>
      <c r="C81" t="s">
        <v>66</v>
      </c>
      <c r="D81">
        <v>10.7117</v>
      </c>
      <c r="E81" t="s">
        <v>46</v>
      </c>
    </row>
    <row r="82" spans="1:5" x14ac:dyDescent="0.35">
      <c r="A82">
        <v>1</v>
      </c>
      <c r="B82" t="s">
        <v>64</v>
      </c>
      <c r="C82" t="s">
        <v>67</v>
      </c>
      <c r="D82">
        <v>4.9428000000000001</v>
      </c>
      <c r="E82" t="s">
        <v>46</v>
      </c>
    </row>
    <row r="83" spans="1:5" x14ac:dyDescent="0.35">
      <c r="A83">
        <v>1</v>
      </c>
      <c r="B83" t="s">
        <v>64</v>
      </c>
      <c r="C83" t="s">
        <v>69</v>
      </c>
      <c r="D83">
        <v>2.1530999999999998</v>
      </c>
      <c r="E83" t="s">
        <v>46</v>
      </c>
    </row>
    <row r="84" spans="1:5" x14ac:dyDescent="0.35">
      <c r="A84">
        <v>1</v>
      </c>
      <c r="B84" t="s">
        <v>64</v>
      </c>
      <c r="C84" t="s">
        <v>70</v>
      </c>
      <c r="D84">
        <v>0.94489999999999996</v>
      </c>
      <c r="E84" t="s">
        <v>46</v>
      </c>
    </row>
    <row r="85" spans="1:5" x14ac:dyDescent="0.35">
      <c r="A85">
        <v>1</v>
      </c>
      <c r="B85" t="s">
        <v>64</v>
      </c>
      <c r="C85" t="s">
        <v>71</v>
      </c>
      <c r="D85">
        <v>0.44059999999999999</v>
      </c>
      <c r="E85" t="s">
        <v>46</v>
      </c>
    </row>
    <row r="86" spans="1:5" x14ac:dyDescent="0.35">
      <c r="A86">
        <v>1</v>
      </c>
      <c r="B86" t="s">
        <v>64</v>
      </c>
      <c r="C86" t="s">
        <v>72</v>
      </c>
      <c r="D86">
        <v>0.18659999999999999</v>
      </c>
      <c r="E86" t="s">
        <v>46</v>
      </c>
    </row>
    <row r="87" spans="1:5" x14ac:dyDescent="0.35">
      <c r="A87">
        <v>1</v>
      </c>
      <c r="B87" t="s">
        <v>64</v>
      </c>
      <c r="C87" t="s">
        <v>73</v>
      </c>
      <c r="D87">
        <v>6.0999999999999999E-2</v>
      </c>
      <c r="E87" t="s">
        <v>46</v>
      </c>
    </row>
    <row r="88" spans="1:5" x14ac:dyDescent="0.35">
      <c r="A88">
        <v>1</v>
      </c>
      <c r="B88" t="s">
        <v>64</v>
      </c>
      <c r="C88" t="s">
        <v>74</v>
      </c>
      <c r="D88">
        <v>1.6799999999999999E-2</v>
      </c>
      <c r="E88" t="s">
        <v>46</v>
      </c>
    </row>
    <row r="89" spans="1:5" x14ac:dyDescent="0.35">
      <c r="A89">
        <v>1</v>
      </c>
      <c r="B89" t="s">
        <v>64</v>
      </c>
      <c r="C89" t="s">
        <v>75</v>
      </c>
      <c r="D89">
        <v>8.0999999999999996E-3</v>
      </c>
      <c r="E89" t="s">
        <v>46</v>
      </c>
    </row>
    <row r="90" spans="1:5" x14ac:dyDescent="0.35">
      <c r="A90">
        <v>1</v>
      </c>
      <c r="B90" t="s">
        <v>64</v>
      </c>
      <c r="C90" t="s">
        <v>78</v>
      </c>
      <c r="D90">
        <v>3.7000000000000002E-3</v>
      </c>
      <c r="E90" t="s">
        <v>46</v>
      </c>
    </row>
    <row r="91" spans="1:5" x14ac:dyDescent="0.35">
      <c r="A91">
        <v>1</v>
      </c>
      <c r="B91" t="s">
        <v>64</v>
      </c>
      <c r="C91" t="s">
        <v>79</v>
      </c>
      <c r="D91">
        <v>8.9999999999999998E-4</v>
      </c>
      <c r="E91" t="s">
        <v>46</v>
      </c>
    </row>
    <row r="92" spans="1:5" x14ac:dyDescent="0.35">
      <c r="A92">
        <v>1</v>
      </c>
      <c r="B92" t="s">
        <v>64</v>
      </c>
      <c r="C92" t="s">
        <v>80</v>
      </c>
      <c r="D92">
        <v>1E-4</v>
      </c>
      <c r="E92" t="s">
        <v>46</v>
      </c>
    </row>
    <row r="93" spans="1:5" x14ac:dyDescent="0.35">
      <c r="A93">
        <v>1</v>
      </c>
      <c r="B93" t="s">
        <v>23</v>
      </c>
      <c r="C93" t="s">
        <v>24</v>
      </c>
      <c r="D93">
        <v>0</v>
      </c>
      <c r="E93" t="s">
        <v>46</v>
      </c>
    </row>
    <row r="94" spans="1:5" x14ac:dyDescent="0.35">
      <c r="A94">
        <v>1</v>
      </c>
      <c r="B94" t="s">
        <v>23</v>
      </c>
      <c r="C94" t="s">
        <v>25</v>
      </c>
      <c r="D94">
        <v>0</v>
      </c>
      <c r="E94" t="s">
        <v>46</v>
      </c>
    </row>
    <row r="95" spans="1:5" x14ac:dyDescent="0.35">
      <c r="A95">
        <v>1</v>
      </c>
      <c r="B95" t="s">
        <v>23</v>
      </c>
      <c r="C95" t="s">
        <v>26</v>
      </c>
      <c r="D95">
        <v>0</v>
      </c>
      <c r="E95" t="s">
        <v>46</v>
      </c>
    </row>
    <row r="96" spans="1:5" x14ac:dyDescent="0.35">
      <c r="A96">
        <v>1</v>
      </c>
      <c r="B96" t="s">
        <v>23</v>
      </c>
      <c r="C96" t="s">
        <v>27</v>
      </c>
      <c r="D96">
        <v>0</v>
      </c>
      <c r="E96" t="s">
        <v>46</v>
      </c>
    </row>
    <row r="97" spans="1:5" x14ac:dyDescent="0.35">
      <c r="A97">
        <v>0</v>
      </c>
      <c r="B97" t="s">
        <v>5</v>
      </c>
      <c r="C97" t="s">
        <v>45</v>
      </c>
      <c r="D97">
        <v>60.702399999999997</v>
      </c>
      <c r="E97" t="s">
        <v>46</v>
      </c>
    </row>
    <row r="98" spans="1:5" x14ac:dyDescent="0.35">
      <c r="A98">
        <v>0</v>
      </c>
      <c r="B98" t="s">
        <v>5</v>
      </c>
      <c r="C98" t="s">
        <v>47</v>
      </c>
      <c r="D98">
        <v>2.0333000000000001</v>
      </c>
      <c r="E98" t="s">
        <v>46</v>
      </c>
    </row>
    <row r="99" spans="1:5" x14ac:dyDescent="0.35">
      <c r="A99">
        <v>0</v>
      </c>
      <c r="B99" t="s">
        <v>5</v>
      </c>
      <c r="C99" t="s">
        <v>48</v>
      </c>
      <c r="D99">
        <v>0.33350000000000002</v>
      </c>
      <c r="E99" t="s">
        <v>46</v>
      </c>
    </row>
    <row r="100" spans="1:5" x14ac:dyDescent="0.35">
      <c r="A100">
        <v>0</v>
      </c>
      <c r="B100" t="s">
        <v>5</v>
      </c>
      <c r="C100" t="s">
        <v>49</v>
      </c>
      <c r="D100">
        <v>0</v>
      </c>
      <c r="E100" t="s">
        <v>46</v>
      </c>
    </row>
    <row r="101" spans="1:5" x14ac:dyDescent="0.35">
      <c r="A101">
        <v>0</v>
      </c>
      <c r="B101" t="s">
        <v>62</v>
      </c>
      <c r="C101" t="s">
        <v>45</v>
      </c>
      <c r="D101">
        <v>100</v>
      </c>
      <c r="E101" t="s">
        <v>46</v>
      </c>
    </row>
    <row r="102" spans="1:5" x14ac:dyDescent="0.35">
      <c r="A102">
        <v>0</v>
      </c>
      <c r="B102" t="s">
        <v>62</v>
      </c>
      <c r="C102" t="s">
        <v>51</v>
      </c>
      <c r="D102">
        <v>92.593199999999996</v>
      </c>
      <c r="E102" t="s">
        <v>46</v>
      </c>
    </row>
    <row r="103" spans="1:5" x14ac:dyDescent="0.35">
      <c r="A103">
        <v>0</v>
      </c>
      <c r="B103" t="s">
        <v>62</v>
      </c>
      <c r="C103" t="s">
        <v>56</v>
      </c>
      <c r="D103">
        <v>3.6086999999999998</v>
      </c>
      <c r="E103" t="s">
        <v>46</v>
      </c>
    </row>
    <row r="104" spans="1:5" x14ac:dyDescent="0.35">
      <c r="A104">
        <v>0</v>
      </c>
      <c r="B104" t="s">
        <v>62</v>
      </c>
      <c r="C104" t="s">
        <v>57</v>
      </c>
      <c r="D104">
        <v>5.9999999999999995E-4</v>
      </c>
      <c r="E104" t="s">
        <v>46</v>
      </c>
    </row>
    <row r="105" spans="1:5" x14ac:dyDescent="0.35">
      <c r="A105">
        <v>0</v>
      </c>
      <c r="B105" t="s">
        <v>62</v>
      </c>
      <c r="C105" t="s">
        <v>81</v>
      </c>
      <c r="D105">
        <v>1E-4</v>
      </c>
      <c r="E105" t="s">
        <v>46</v>
      </c>
    </row>
    <row r="106" spans="1:5" x14ac:dyDescent="0.35">
      <c r="A106">
        <v>0</v>
      </c>
      <c r="B106" t="s">
        <v>64</v>
      </c>
      <c r="C106" t="s">
        <v>45</v>
      </c>
      <c r="D106">
        <v>100</v>
      </c>
      <c r="E106" t="s">
        <v>46</v>
      </c>
    </row>
    <row r="107" spans="1:5" x14ac:dyDescent="0.35">
      <c r="A107">
        <v>0</v>
      </c>
      <c r="B107" t="s">
        <v>64</v>
      </c>
      <c r="C107" t="s">
        <v>51</v>
      </c>
      <c r="D107">
        <v>100</v>
      </c>
      <c r="E107" t="s">
        <v>46</v>
      </c>
    </row>
    <row r="108" spans="1:5" x14ac:dyDescent="0.35">
      <c r="A108">
        <v>0</v>
      </c>
      <c r="B108" t="s">
        <v>64</v>
      </c>
      <c r="C108" t="s">
        <v>56</v>
      </c>
      <c r="D108">
        <v>100</v>
      </c>
      <c r="E108" t="s">
        <v>46</v>
      </c>
    </row>
    <row r="109" spans="1:5" x14ac:dyDescent="0.35">
      <c r="A109">
        <v>0</v>
      </c>
      <c r="B109" t="s">
        <v>64</v>
      </c>
      <c r="C109" t="s">
        <v>57</v>
      </c>
      <c r="D109">
        <v>98.263300000000001</v>
      </c>
      <c r="E109" t="s">
        <v>46</v>
      </c>
    </row>
    <row r="110" spans="1:5" x14ac:dyDescent="0.35">
      <c r="A110">
        <v>0</v>
      </c>
      <c r="B110" t="s">
        <v>64</v>
      </c>
      <c r="C110" t="s">
        <v>58</v>
      </c>
      <c r="D110">
        <v>53.515599999999999</v>
      </c>
      <c r="E110" t="s">
        <v>46</v>
      </c>
    </row>
    <row r="111" spans="1:5" x14ac:dyDescent="0.35">
      <c r="A111">
        <v>0</v>
      </c>
      <c r="B111" t="s">
        <v>64</v>
      </c>
      <c r="C111" t="s">
        <v>59</v>
      </c>
      <c r="D111">
        <v>9.5973000000000006</v>
      </c>
      <c r="E111" t="s">
        <v>46</v>
      </c>
    </row>
    <row r="112" spans="1:5" x14ac:dyDescent="0.35">
      <c r="A112">
        <v>0</v>
      </c>
      <c r="B112" t="s">
        <v>64</v>
      </c>
      <c r="C112" t="s">
        <v>60</v>
      </c>
      <c r="D112">
        <v>1.9482999999999999</v>
      </c>
      <c r="E112" t="s">
        <v>46</v>
      </c>
    </row>
    <row r="113" spans="1:5" x14ac:dyDescent="0.35">
      <c r="A113">
        <v>0</v>
      </c>
      <c r="B113" t="s">
        <v>64</v>
      </c>
      <c r="C113" t="s">
        <v>65</v>
      </c>
      <c r="D113">
        <v>0.45910000000000001</v>
      </c>
      <c r="E113" t="s">
        <v>46</v>
      </c>
    </row>
    <row r="114" spans="1:5" x14ac:dyDescent="0.35">
      <c r="A114">
        <v>0</v>
      </c>
      <c r="B114" t="s">
        <v>64</v>
      </c>
      <c r="C114" t="s">
        <v>66</v>
      </c>
      <c r="D114">
        <v>4.24E-2</v>
      </c>
      <c r="E114" t="s">
        <v>46</v>
      </c>
    </row>
    <row r="115" spans="1:5" x14ac:dyDescent="0.35">
      <c r="A115">
        <v>0</v>
      </c>
      <c r="B115" t="s">
        <v>64</v>
      </c>
      <c r="C115" t="s">
        <v>67</v>
      </c>
      <c r="D115">
        <v>5.7000000000000002E-3</v>
      </c>
      <c r="E115" t="s">
        <v>46</v>
      </c>
    </row>
    <row r="116" spans="1:5" x14ac:dyDescent="0.35">
      <c r="A116">
        <v>0</v>
      </c>
      <c r="B116" t="s">
        <v>64</v>
      </c>
      <c r="C116" t="s">
        <v>82</v>
      </c>
      <c r="D116">
        <v>1E-4</v>
      </c>
      <c r="E116" t="s">
        <v>46</v>
      </c>
    </row>
    <row r="117" spans="1:5" x14ac:dyDescent="0.35">
      <c r="A117">
        <v>0</v>
      </c>
      <c r="B117" t="s">
        <v>23</v>
      </c>
      <c r="C117" t="s">
        <v>24</v>
      </c>
      <c r="D117">
        <v>0</v>
      </c>
      <c r="E117" t="s">
        <v>46</v>
      </c>
    </row>
    <row r="118" spans="1:5" x14ac:dyDescent="0.35">
      <c r="A118">
        <v>0</v>
      </c>
      <c r="B118" t="s">
        <v>23</v>
      </c>
      <c r="C118" t="s">
        <v>25</v>
      </c>
      <c r="D118">
        <v>0</v>
      </c>
      <c r="E118" t="s">
        <v>46</v>
      </c>
    </row>
    <row r="119" spans="1:5" x14ac:dyDescent="0.35">
      <c r="A119">
        <v>0</v>
      </c>
      <c r="B119" t="s">
        <v>23</v>
      </c>
      <c r="C119" t="s">
        <v>26</v>
      </c>
      <c r="D119">
        <v>0</v>
      </c>
      <c r="E119" t="s">
        <v>46</v>
      </c>
    </row>
    <row r="120" spans="1:5" x14ac:dyDescent="0.35">
      <c r="A120">
        <v>0</v>
      </c>
      <c r="B120" t="s">
        <v>23</v>
      </c>
      <c r="C120" t="s">
        <v>27</v>
      </c>
      <c r="D120">
        <v>0</v>
      </c>
      <c r="E120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topLeftCell="A52" workbookViewId="0">
      <selection activeCell="H3" sqref="H3"/>
    </sheetView>
  </sheetViews>
  <sheetFormatPr defaultRowHeight="14.5" x14ac:dyDescent="0.35"/>
  <cols>
    <col min="1" max="7" width="15.6328125" customWidth="1"/>
    <col min="8" max="8" width="15.6328125" style="2" customWidth="1"/>
    <col min="9" max="9" width="15.6328125" customWidth="1"/>
  </cols>
  <sheetData>
    <row r="1" spans="1:9" x14ac:dyDescent="0.35">
      <c r="A1" s="1" t="s">
        <v>0</v>
      </c>
      <c r="B1" s="1" t="s">
        <v>83</v>
      </c>
      <c r="C1" s="1" t="s">
        <v>84</v>
      </c>
      <c r="D1" s="1" t="s">
        <v>2</v>
      </c>
      <c r="E1" s="1" t="s">
        <v>85</v>
      </c>
      <c r="F1" s="1" t="s">
        <v>86</v>
      </c>
      <c r="G1" s="1" t="s">
        <v>87</v>
      </c>
      <c r="H1" s="3" t="s">
        <v>108</v>
      </c>
      <c r="I1" s="1" t="s">
        <v>109</v>
      </c>
    </row>
    <row r="2" spans="1:9" x14ac:dyDescent="0.35">
      <c r="A2">
        <v>0</v>
      </c>
      <c r="B2" t="s">
        <v>23</v>
      </c>
      <c r="C2" t="s">
        <v>23</v>
      </c>
      <c r="D2" t="s">
        <v>27</v>
      </c>
      <c r="F2" s="2">
        <v>1.0000000000287561E-6</v>
      </c>
      <c r="G2">
        <v>0</v>
      </c>
      <c r="H2" s="2">
        <f>G2/100</f>
        <v>0</v>
      </c>
      <c r="I2" s="2">
        <f>ABS(F2-H2)</f>
        <v>1.0000000000287561E-6</v>
      </c>
    </row>
    <row r="3" spans="1:9" x14ac:dyDescent="0.35">
      <c r="A3">
        <v>0</v>
      </c>
      <c r="B3" t="s">
        <v>23</v>
      </c>
      <c r="C3" t="s">
        <v>23</v>
      </c>
      <c r="D3" t="s">
        <v>24</v>
      </c>
      <c r="F3" s="2">
        <v>2.9491999999999959E-2</v>
      </c>
      <c r="G3">
        <v>0</v>
      </c>
      <c r="H3" s="2">
        <f t="shared" ref="H3:H66" si="0">G3/100</f>
        <v>0</v>
      </c>
      <c r="I3" s="2">
        <f t="shared" ref="I3:I66" si="1">ABS(F3-H3)</f>
        <v>2.9491999999999959E-2</v>
      </c>
    </row>
    <row r="4" spans="1:9" x14ac:dyDescent="0.35">
      <c r="A4">
        <v>0</v>
      </c>
      <c r="B4" t="s">
        <v>23</v>
      </c>
      <c r="C4" t="s">
        <v>23</v>
      </c>
      <c r="D4" t="s">
        <v>25</v>
      </c>
      <c r="F4" s="2">
        <v>1.2824999999999981E-2</v>
      </c>
      <c r="G4">
        <v>0</v>
      </c>
      <c r="H4" s="2">
        <f t="shared" si="0"/>
        <v>0</v>
      </c>
      <c r="I4" s="2">
        <f t="shared" si="1"/>
        <v>1.2824999999999981E-2</v>
      </c>
    </row>
    <row r="5" spans="1:9" x14ac:dyDescent="0.35">
      <c r="A5">
        <v>0</v>
      </c>
      <c r="B5" t="s">
        <v>23</v>
      </c>
      <c r="C5" t="s">
        <v>23</v>
      </c>
      <c r="D5" t="s">
        <v>26</v>
      </c>
      <c r="F5" s="2">
        <v>1.1785000000000051E-2</v>
      </c>
      <c r="G5">
        <v>0</v>
      </c>
      <c r="H5" s="2">
        <f t="shared" si="0"/>
        <v>0</v>
      </c>
      <c r="I5" s="2">
        <f t="shared" si="1"/>
        <v>1.1785000000000051E-2</v>
      </c>
    </row>
    <row r="6" spans="1:9" x14ac:dyDescent="0.35">
      <c r="A6">
        <v>0</v>
      </c>
      <c r="B6" t="s">
        <v>17</v>
      </c>
      <c r="C6" t="s">
        <v>64</v>
      </c>
      <c r="D6" t="s">
        <v>6</v>
      </c>
      <c r="E6" t="s">
        <v>45</v>
      </c>
      <c r="F6" s="2">
        <v>0.99993799999999999</v>
      </c>
      <c r="G6">
        <v>100</v>
      </c>
      <c r="H6" s="2">
        <f t="shared" si="0"/>
        <v>1</v>
      </c>
      <c r="I6" s="2">
        <f t="shared" si="1"/>
        <v>6.2000000000006494E-5</v>
      </c>
    </row>
    <row r="7" spans="1:9" x14ac:dyDescent="0.35">
      <c r="A7">
        <v>0</v>
      </c>
      <c r="B7" t="s">
        <v>17</v>
      </c>
      <c r="C7" t="s">
        <v>64</v>
      </c>
      <c r="D7" t="s">
        <v>14</v>
      </c>
      <c r="E7" t="s">
        <v>56</v>
      </c>
      <c r="F7" s="2">
        <v>0.99993799999999999</v>
      </c>
      <c r="G7">
        <v>100</v>
      </c>
      <c r="H7" s="2">
        <f t="shared" si="0"/>
        <v>1</v>
      </c>
      <c r="I7" s="2">
        <f t="shared" si="1"/>
        <v>6.2000000000006494E-5</v>
      </c>
    </row>
    <row r="8" spans="1:9" x14ac:dyDescent="0.35">
      <c r="A8">
        <v>0</v>
      </c>
      <c r="B8" t="s">
        <v>17</v>
      </c>
      <c r="C8" t="s">
        <v>64</v>
      </c>
      <c r="D8" t="s">
        <v>15</v>
      </c>
      <c r="E8" t="s">
        <v>57</v>
      </c>
      <c r="F8" s="2">
        <v>0.982935</v>
      </c>
      <c r="G8">
        <v>98.263300000000001</v>
      </c>
      <c r="H8" s="2">
        <f t="shared" si="0"/>
        <v>0.98263299999999998</v>
      </c>
      <c r="I8" s="2">
        <f t="shared" si="1"/>
        <v>3.0200000000002447E-4</v>
      </c>
    </row>
    <row r="9" spans="1:9" x14ac:dyDescent="0.35">
      <c r="A9">
        <v>0</v>
      </c>
      <c r="B9" t="s">
        <v>17</v>
      </c>
      <c r="C9" t="s">
        <v>64</v>
      </c>
      <c r="D9" t="s">
        <v>16</v>
      </c>
      <c r="E9" t="s">
        <v>58</v>
      </c>
      <c r="F9" s="2">
        <v>0.52821400000000007</v>
      </c>
      <c r="G9">
        <v>53.515599999999999</v>
      </c>
      <c r="H9" s="2">
        <f t="shared" si="0"/>
        <v>0.53515599999999997</v>
      </c>
      <c r="I9" s="2">
        <f t="shared" si="1"/>
        <v>6.9419999999998927E-3</v>
      </c>
    </row>
    <row r="10" spans="1:9" x14ac:dyDescent="0.35">
      <c r="A10">
        <v>0</v>
      </c>
      <c r="B10" t="s">
        <v>17</v>
      </c>
      <c r="C10" t="s">
        <v>64</v>
      </c>
      <c r="D10" t="s">
        <v>18</v>
      </c>
      <c r="E10" t="s">
        <v>59</v>
      </c>
      <c r="F10" s="2">
        <v>9.4358000000000053E-2</v>
      </c>
      <c r="G10">
        <v>9.5973000000000006</v>
      </c>
      <c r="H10" s="2">
        <f t="shared" si="0"/>
        <v>9.5973000000000003E-2</v>
      </c>
      <c r="I10" s="2">
        <f t="shared" si="1"/>
        <v>1.6149999999999498E-3</v>
      </c>
    </row>
    <row r="11" spans="1:9" x14ac:dyDescent="0.35">
      <c r="A11">
        <v>0</v>
      </c>
      <c r="B11" t="s">
        <v>17</v>
      </c>
      <c r="C11" t="s">
        <v>64</v>
      </c>
      <c r="D11" t="s">
        <v>19</v>
      </c>
      <c r="E11" t="s">
        <v>60</v>
      </c>
      <c r="F11" s="2">
        <v>1.5848999999999999E-2</v>
      </c>
      <c r="G11">
        <v>1.9482999999999999</v>
      </c>
      <c r="H11" s="2">
        <f t="shared" si="0"/>
        <v>1.9483E-2</v>
      </c>
      <c r="I11" s="2">
        <f t="shared" si="1"/>
        <v>3.6340000000000018E-3</v>
      </c>
    </row>
    <row r="12" spans="1:9" x14ac:dyDescent="0.35">
      <c r="A12">
        <v>0</v>
      </c>
      <c r="B12" t="s">
        <v>17</v>
      </c>
      <c r="C12" t="s">
        <v>64</v>
      </c>
      <c r="D12" t="s">
        <v>20</v>
      </c>
      <c r="E12" t="s">
        <v>65</v>
      </c>
      <c r="F12" s="2">
        <v>2.9980000000000562E-3</v>
      </c>
      <c r="G12">
        <v>0.45910000000000001</v>
      </c>
      <c r="H12" s="2">
        <f t="shared" si="0"/>
        <v>4.5910000000000005E-3</v>
      </c>
      <c r="I12" s="2">
        <f t="shared" si="1"/>
        <v>1.5929999999999443E-3</v>
      </c>
    </row>
    <row r="13" spans="1:9" x14ac:dyDescent="0.35">
      <c r="A13">
        <v>0</v>
      </c>
      <c r="B13" t="s">
        <v>17</v>
      </c>
      <c r="C13" t="s">
        <v>64</v>
      </c>
      <c r="D13" t="s">
        <v>21</v>
      </c>
      <c r="E13" t="s">
        <v>66</v>
      </c>
      <c r="F13" s="2">
        <v>4.009999999999847E-4</v>
      </c>
      <c r="G13">
        <v>4.24E-2</v>
      </c>
      <c r="H13" s="2">
        <f t="shared" si="0"/>
        <v>4.2400000000000001E-4</v>
      </c>
      <c r="I13" s="2">
        <f t="shared" si="1"/>
        <v>2.3000000000015304E-5</v>
      </c>
    </row>
    <row r="14" spans="1:9" x14ac:dyDescent="0.35">
      <c r="A14">
        <v>0</v>
      </c>
      <c r="B14" t="s">
        <v>17</v>
      </c>
      <c r="C14" t="s">
        <v>64</v>
      </c>
      <c r="D14" t="s">
        <v>22</v>
      </c>
      <c r="E14" t="s">
        <v>67</v>
      </c>
      <c r="F14" s="2">
        <v>1.0000000000287561E-6</v>
      </c>
      <c r="G14">
        <v>5.7000000000000002E-3</v>
      </c>
      <c r="H14" s="2">
        <f t="shared" si="0"/>
        <v>5.7000000000000003E-5</v>
      </c>
      <c r="I14" s="2">
        <f t="shared" si="1"/>
        <v>5.5999999999971247E-5</v>
      </c>
    </row>
    <row r="15" spans="1:9" x14ac:dyDescent="0.35">
      <c r="A15">
        <v>0</v>
      </c>
      <c r="B15" t="s">
        <v>17</v>
      </c>
      <c r="C15" t="s">
        <v>64</v>
      </c>
      <c r="D15" t="s">
        <v>13</v>
      </c>
      <c r="E15" t="s">
        <v>51</v>
      </c>
      <c r="F15" s="2">
        <v>0.99993799999999999</v>
      </c>
      <c r="G15">
        <v>100</v>
      </c>
      <c r="H15" s="2">
        <f t="shared" si="0"/>
        <v>1</v>
      </c>
      <c r="I15" s="2">
        <f t="shared" si="1"/>
        <v>6.2000000000006494E-5</v>
      </c>
    </row>
    <row r="16" spans="1:9" x14ac:dyDescent="0.35">
      <c r="A16">
        <v>0</v>
      </c>
      <c r="B16" t="s">
        <v>12</v>
      </c>
      <c r="C16" t="s">
        <v>62</v>
      </c>
      <c r="D16" t="s">
        <v>6</v>
      </c>
      <c r="E16" t="s">
        <v>45</v>
      </c>
      <c r="F16" s="2">
        <v>0.99993799999999999</v>
      </c>
      <c r="G16">
        <v>100</v>
      </c>
      <c r="H16" s="2">
        <f t="shared" si="0"/>
        <v>1</v>
      </c>
      <c r="I16" s="2">
        <f t="shared" si="1"/>
        <v>6.2000000000006494E-5</v>
      </c>
    </row>
    <row r="17" spans="1:9" x14ac:dyDescent="0.35">
      <c r="A17">
        <v>0</v>
      </c>
      <c r="B17" t="s">
        <v>12</v>
      </c>
      <c r="C17" t="s">
        <v>62</v>
      </c>
      <c r="D17" t="s">
        <v>14</v>
      </c>
      <c r="E17" t="s">
        <v>56</v>
      </c>
      <c r="F17" s="2">
        <v>0.28246100000000002</v>
      </c>
      <c r="G17">
        <v>3.6086999999999998</v>
      </c>
      <c r="H17" s="2">
        <f t="shared" si="0"/>
        <v>3.6087000000000001E-2</v>
      </c>
      <c r="I17" s="2">
        <f t="shared" si="1"/>
        <v>0.24637400000000001</v>
      </c>
    </row>
    <row r="18" spans="1:9" x14ac:dyDescent="0.35">
      <c r="A18">
        <v>0</v>
      </c>
      <c r="B18" t="s">
        <v>12</v>
      </c>
      <c r="C18" t="s">
        <v>62</v>
      </c>
      <c r="D18" t="s">
        <v>15</v>
      </c>
      <c r="E18" t="s">
        <v>57</v>
      </c>
      <c r="F18" s="2">
        <v>1.641999999999999E-2</v>
      </c>
      <c r="G18">
        <v>5.9999999999999995E-4</v>
      </c>
      <c r="H18" s="2">
        <f t="shared" si="0"/>
        <v>5.9999999999999993E-6</v>
      </c>
      <c r="I18" s="2">
        <f t="shared" si="1"/>
        <v>1.6413999999999991E-2</v>
      </c>
    </row>
    <row r="19" spans="1:9" x14ac:dyDescent="0.35">
      <c r="A19">
        <v>0</v>
      </c>
      <c r="B19" t="s">
        <v>12</v>
      </c>
      <c r="C19" t="s">
        <v>62</v>
      </c>
      <c r="D19" t="s">
        <v>16</v>
      </c>
      <c r="E19" t="s">
        <v>81</v>
      </c>
      <c r="F19" s="2">
        <v>5.5899999999997618E-4</v>
      </c>
      <c r="G19">
        <v>1E-4</v>
      </c>
      <c r="H19" s="2">
        <f t="shared" si="0"/>
        <v>9.9999999999999995E-7</v>
      </c>
      <c r="I19" s="2">
        <f t="shared" si="1"/>
        <v>5.5799999999997616E-4</v>
      </c>
    </row>
    <row r="20" spans="1:9" x14ac:dyDescent="0.35">
      <c r="A20">
        <v>0</v>
      </c>
      <c r="B20" t="s">
        <v>12</v>
      </c>
      <c r="C20" t="s">
        <v>62</v>
      </c>
      <c r="D20" t="s">
        <v>13</v>
      </c>
      <c r="E20" t="s">
        <v>51</v>
      </c>
      <c r="F20" s="2">
        <v>0.99891200000000002</v>
      </c>
      <c r="G20">
        <v>92.593199999999996</v>
      </c>
      <c r="H20" s="2">
        <f t="shared" si="0"/>
        <v>0.92593199999999998</v>
      </c>
      <c r="I20" s="2">
        <f t="shared" si="1"/>
        <v>7.2980000000000045E-2</v>
      </c>
    </row>
    <row r="21" spans="1:9" x14ac:dyDescent="0.35">
      <c r="A21">
        <v>0</v>
      </c>
      <c r="B21" t="s">
        <v>5</v>
      </c>
      <c r="C21" t="s">
        <v>5</v>
      </c>
      <c r="D21" t="s">
        <v>6</v>
      </c>
      <c r="E21" t="s">
        <v>45</v>
      </c>
      <c r="F21" s="2">
        <v>0.54245200000000005</v>
      </c>
      <c r="G21">
        <v>60.702399999999997</v>
      </c>
      <c r="H21" s="2">
        <f t="shared" si="0"/>
        <v>0.60702400000000001</v>
      </c>
      <c r="I21" s="2">
        <f t="shared" si="1"/>
        <v>6.4571999999999963E-2</v>
      </c>
    </row>
    <row r="22" spans="1:9" x14ac:dyDescent="0.35">
      <c r="A22">
        <v>0</v>
      </c>
      <c r="B22" t="s">
        <v>5</v>
      </c>
      <c r="C22" t="s">
        <v>5</v>
      </c>
      <c r="D22" t="s">
        <v>8</v>
      </c>
      <c r="E22" t="s">
        <v>47</v>
      </c>
      <c r="F22" s="2">
        <v>9.5000000000000639E-3</v>
      </c>
      <c r="G22">
        <v>2.0333000000000001</v>
      </c>
      <c r="H22" s="2">
        <f t="shared" si="0"/>
        <v>2.0333E-2</v>
      </c>
      <c r="I22" s="2">
        <f t="shared" si="1"/>
        <v>1.0832999999999936E-2</v>
      </c>
    </row>
    <row r="23" spans="1:9" x14ac:dyDescent="0.35">
      <c r="A23">
        <v>0</v>
      </c>
      <c r="B23" t="s">
        <v>5</v>
      </c>
      <c r="C23" t="s">
        <v>5</v>
      </c>
      <c r="D23" t="s">
        <v>9</v>
      </c>
      <c r="E23" t="s">
        <v>48</v>
      </c>
      <c r="F23" s="2">
        <v>2.0560000000000582E-3</v>
      </c>
      <c r="G23">
        <v>0.33350000000000002</v>
      </c>
      <c r="H23" s="2">
        <f t="shared" si="0"/>
        <v>3.3350000000000003E-3</v>
      </c>
      <c r="I23" s="2">
        <f t="shared" si="1"/>
        <v>1.2789999999999421E-3</v>
      </c>
    </row>
    <row r="24" spans="1:9" x14ac:dyDescent="0.35">
      <c r="A24">
        <v>0</v>
      </c>
      <c r="B24" t="s">
        <v>5</v>
      </c>
      <c r="C24" t="s">
        <v>5</v>
      </c>
      <c r="D24" t="s">
        <v>10</v>
      </c>
      <c r="E24" t="s">
        <v>49</v>
      </c>
      <c r="F24" s="2">
        <v>1.0740000000000189E-3</v>
      </c>
      <c r="G24">
        <v>0</v>
      </c>
      <c r="H24" s="2">
        <f t="shared" si="0"/>
        <v>0</v>
      </c>
      <c r="I24" s="2">
        <f t="shared" si="1"/>
        <v>1.0740000000000189E-3</v>
      </c>
    </row>
    <row r="25" spans="1:9" x14ac:dyDescent="0.35">
      <c r="A25">
        <v>0</v>
      </c>
      <c r="B25" t="s">
        <v>5</v>
      </c>
      <c r="C25" t="s">
        <v>5</v>
      </c>
      <c r="D25" t="s">
        <v>11</v>
      </c>
      <c r="E25" t="s">
        <v>49</v>
      </c>
      <c r="F25" s="2">
        <v>1.0430000000000159E-3</v>
      </c>
      <c r="G25">
        <v>0</v>
      </c>
      <c r="H25" s="2">
        <f t="shared" si="0"/>
        <v>0</v>
      </c>
      <c r="I25" s="2">
        <f t="shared" si="1"/>
        <v>1.0430000000000159E-3</v>
      </c>
    </row>
    <row r="26" spans="1:9" x14ac:dyDescent="0.35">
      <c r="A26">
        <v>1</v>
      </c>
      <c r="B26" t="s">
        <v>23</v>
      </c>
      <c r="C26" t="s">
        <v>23</v>
      </c>
      <c r="D26" t="s">
        <v>27</v>
      </c>
      <c r="F26" s="2">
        <v>1.0000000000287561E-6</v>
      </c>
      <c r="G26">
        <v>0</v>
      </c>
      <c r="H26" s="2">
        <f t="shared" si="0"/>
        <v>0</v>
      </c>
      <c r="I26" s="2">
        <f t="shared" si="1"/>
        <v>1.0000000000287561E-6</v>
      </c>
    </row>
    <row r="27" spans="1:9" x14ac:dyDescent="0.35">
      <c r="A27">
        <v>1</v>
      </c>
      <c r="B27" t="s">
        <v>23</v>
      </c>
      <c r="C27" t="s">
        <v>23</v>
      </c>
      <c r="D27" t="s">
        <v>24</v>
      </c>
      <c r="F27" s="2">
        <v>6.952999999999987E-3</v>
      </c>
      <c r="G27">
        <v>0</v>
      </c>
      <c r="H27" s="2">
        <f t="shared" si="0"/>
        <v>0</v>
      </c>
      <c r="I27" s="2">
        <f t="shared" si="1"/>
        <v>6.952999999999987E-3</v>
      </c>
    </row>
    <row r="28" spans="1:9" x14ac:dyDescent="0.35">
      <c r="A28">
        <v>1</v>
      </c>
      <c r="B28" t="s">
        <v>23</v>
      </c>
      <c r="C28" t="s">
        <v>23</v>
      </c>
      <c r="D28" t="s">
        <v>25</v>
      </c>
      <c r="F28" s="2">
        <v>6.9230000000000116E-3</v>
      </c>
      <c r="G28">
        <v>0</v>
      </c>
      <c r="H28" s="2">
        <f t="shared" si="0"/>
        <v>0</v>
      </c>
      <c r="I28" s="2">
        <f t="shared" si="1"/>
        <v>6.9230000000000116E-3</v>
      </c>
    </row>
    <row r="29" spans="1:9" x14ac:dyDescent="0.35">
      <c r="A29">
        <v>1</v>
      </c>
      <c r="B29" t="s">
        <v>23</v>
      </c>
      <c r="C29" t="s">
        <v>23</v>
      </c>
      <c r="D29" t="s">
        <v>26</v>
      </c>
      <c r="F29" s="2">
        <v>1.0000000000287561E-6</v>
      </c>
      <c r="G29">
        <v>0</v>
      </c>
      <c r="H29" s="2">
        <f t="shared" si="0"/>
        <v>0</v>
      </c>
      <c r="I29" s="2">
        <f t="shared" si="1"/>
        <v>1.0000000000287561E-6</v>
      </c>
    </row>
    <row r="30" spans="1:9" x14ac:dyDescent="0.35">
      <c r="A30">
        <v>1</v>
      </c>
      <c r="B30" t="s">
        <v>17</v>
      </c>
      <c r="C30" t="s">
        <v>64</v>
      </c>
      <c r="D30" t="s">
        <v>6</v>
      </c>
      <c r="E30" t="s">
        <v>45</v>
      </c>
      <c r="F30" s="2">
        <v>0.99989600000000001</v>
      </c>
      <c r="G30">
        <v>99.9983</v>
      </c>
      <c r="H30" s="2">
        <f t="shared" si="0"/>
        <v>0.99998299999999996</v>
      </c>
      <c r="I30" s="2">
        <f t="shared" si="1"/>
        <v>8.699999999994823E-5</v>
      </c>
    </row>
    <row r="31" spans="1:9" x14ac:dyDescent="0.35">
      <c r="A31">
        <v>1</v>
      </c>
      <c r="B31" t="s">
        <v>17</v>
      </c>
      <c r="C31" t="s">
        <v>64</v>
      </c>
      <c r="D31" t="s">
        <v>14</v>
      </c>
      <c r="E31" t="s">
        <v>56</v>
      </c>
      <c r="F31" s="2">
        <v>0.946461</v>
      </c>
      <c r="G31">
        <v>93.423299999999998</v>
      </c>
      <c r="H31" s="2">
        <f t="shared" si="0"/>
        <v>0.93423299999999998</v>
      </c>
      <c r="I31" s="2">
        <f t="shared" si="1"/>
        <v>1.2228000000000017E-2</v>
      </c>
    </row>
    <row r="32" spans="1:9" x14ac:dyDescent="0.35">
      <c r="A32">
        <v>1</v>
      </c>
      <c r="B32" t="s">
        <v>17</v>
      </c>
      <c r="C32" t="s">
        <v>64</v>
      </c>
      <c r="D32" t="s">
        <v>42</v>
      </c>
      <c r="E32" t="s">
        <v>80</v>
      </c>
      <c r="F32" s="2">
        <v>2.5500000000000522E-4</v>
      </c>
      <c r="G32">
        <v>1E-4</v>
      </c>
      <c r="H32" s="2">
        <f t="shared" si="0"/>
        <v>9.9999999999999995E-7</v>
      </c>
      <c r="I32" s="2">
        <f t="shared" si="1"/>
        <v>2.540000000000052E-4</v>
      </c>
    </row>
    <row r="33" spans="1:9" x14ac:dyDescent="0.35">
      <c r="A33">
        <v>1</v>
      </c>
      <c r="B33" t="s">
        <v>17</v>
      </c>
      <c r="C33" t="s">
        <v>64</v>
      </c>
      <c r="D33" t="s">
        <v>43</v>
      </c>
      <c r="E33" t="s">
        <v>80</v>
      </c>
      <c r="F33" s="2">
        <v>1.4700000000000821E-4</v>
      </c>
      <c r="G33">
        <v>1E-4</v>
      </c>
      <c r="H33" s="2">
        <f t="shared" si="0"/>
        <v>9.9999999999999995E-7</v>
      </c>
      <c r="I33" s="2">
        <f t="shared" si="1"/>
        <v>1.4600000000000821E-4</v>
      </c>
    </row>
    <row r="34" spans="1:9" x14ac:dyDescent="0.35">
      <c r="A34">
        <v>1</v>
      </c>
      <c r="B34" t="s">
        <v>17</v>
      </c>
      <c r="C34" t="s">
        <v>64</v>
      </c>
      <c r="D34" t="s">
        <v>44</v>
      </c>
      <c r="E34" t="s">
        <v>80</v>
      </c>
      <c r="F34" s="2">
        <v>6.2000000000006494E-5</v>
      </c>
      <c r="G34">
        <v>1E-4</v>
      </c>
      <c r="H34" s="2">
        <f t="shared" si="0"/>
        <v>9.9999999999999995E-7</v>
      </c>
      <c r="I34" s="2">
        <f t="shared" si="1"/>
        <v>6.1000000000006497E-5</v>
      </c>
    </row>
    <row r="35" spans="1:9" x14ac:dyDescent="0.35">
      <c r="A35">
        <v>1</v>
      </c>
      <c r="B35" t="s">
        <v>17</v>
      </c>
      <c r="C35" t="s">
        <v>64</v>
      </c>
      <c r="D35" t="s">
        <v>15</v>
      </c>
      <c r="E35" t="s">
        <v>57</v>
      </c>
      <c r="F35" s="2">
        <v>0.83691400000000005</v>
      </c>
      <c r="G35">
        <v>79.224000000000004</v>
      </c>
      <c r="H35" s="2">
        <f t="shared" si="0"/>
        <v>0.79224000000000006</v>
      </c>
      <c r="I35" s="2">
        <f t="shared" si="1"/>
        <v>4.4673999999999991E-2</v>
      </c>
    </row>
    <row r="36" spans="1:9" x14ac:dyDescent="0.35">
      <c r="A36">
        <v>1</v>
      </c>
      <c r="B36" t="s">
        <v>17</v>
      </c>
      <c r="C36" t="s">
        <v>64</v>
      </c>
      <c r="D36" t="s">
        <v>16</v>
      </c>
      <c r="E36" t="s">
        <v>58</v>
      </c>
      <c r="F36" s="2">
        <v>0.68331900000000001</v>
      </c>
      <c r="G36">
        <v>61.7256</v>
      </c>
      <c r="H36" s="2">
        <f t="shared" si="0"/>
        <v>0.61725600000000003</v>
      </c>
      <c r="I36" s="2">
        <f t="shared" si="1"/>
        <v>6.6062999999999983E-2</v>
      </c>
    </row>
    <row r="37" spans="1:9" x14ac:dyDescent="0.35">
      <c r="A37">
        <v>1</v>
      </c>
      <c r="B37" t="s">
        <v>17</v>
      </c>
      <c r="C37" t="s">
        <v>64</v>
      </c>
      <c r="D37" t="s">
        <v>18</v>
      </c>
      <c r="E37" t="s">
        <v>59</v>
      </c>
      <c r="F37" s="2">
        <v>0.50323600000000002</v>
      </c>
      <c r="G37">
        <v>43.686599999999999</v>
      </c>
      <c r="H37" s="2">
        <f t="shared" si="0"/>
        <v>0.43686599999999998</v>
      </c>
      <c r="I37" s="2">
        <f t="shared" si="1"/>
        <v>6.637000000000004E-2</v>
      </c>
    </row>
    <row r="38" spans="1:9" x14ac:dyDescent="0.35">
      <c r="A38">
        <v>1</v>
      </c>
      <c r="B38" t="s">
        <v>17</v>
      </c>
      <c r="C38" t="s">
        <v>64</v>
      </c>
      <c r="D38" t="s">
        <v>19</v>
      </c>
      <c r="E38" t="s">
        <v>60</v>
      </c>
      <c r="F38" s="2">
        <v>0.35184399999999999</v>
      </c>
      <c r="G38">
        <v>29.741700000000002</v>
      </c>
      <c r="H38" s="2">
        <f t="shared" si="0"/>
        <v>0.29741700000000004</v>
      </c>
      <c r="I38" s="2">
        <f t="shared" si="1"/>
        <v>5.4426999999999948E-2</v>
      </c>
    </row>
    <row r="39" spans="1:9" x14ac:dyDescent="0.35">
      <c r="A39">
        <v>1</v>
      </c>
      <c r="B39" t="s">
        <v>17</v>
      </c>
      <c r="C39" t="s">
        <v>64</v>
      </c>
      <c r="D39" t="s">
        <v>20</v>
      </c>
      <c r="E39" t="s">
        <v>65</v>
      </c>
      <c r="F39" s="2">
        <v>0.239038</v>
      </c>
      <c r="G39">
        <v>19.693000000000001</v>
      </c>
      <c r="H39" s="2">
        <f t="shared" si="0"/>
        <v>0.19693000000000002</v>
      </c>
      <c r="I39" s="2">
        <f t="shared" si="1"/>
        <v>4.2107999999999979E-2</v>
      </c>
    </row>
    <row r="40" spans="1:9" x14ac:dyDescent="0.35">
      <c r="A40">
        <v>1</v>
      </c>
      <c r="B40" t="s">
        <v>17</v>
      </c>
      <c r="C40" t="s">
        <v>64</v>
      </c>
      <c r="D40" t="s">
        <v>21</v>
      </c>
      <c r="E40" t="s">
        <v>66</v>
      </c>
      <c r="F40" s="2">
        <v>0.14332</v>
      </c>
      <c r="G40">
        <v>10.7117</v>
      </c>
      <c r="H40" s="2">
        <f t="shared" si="0"/>
        <v>0.107117</v>
      </c>
      <c r="I40" s="2">
        <f t="shared" si="1"/>
        <v>3.6202999999999999E-2</v>
      </c>
    </row>
    <row r="41" spans="1:9" x14ac:dyDescent="0.35">
      <c r="A41">
        <v>1</v>
      </c>
      <c r="B41" t="s">
        <v>17</v>
      </c>
      <c r="C41" t="s">
        <v>64</v>
      </c>
      <c r="D41" t="s">
        <v>22</v>
      </c>
      <c r="E41" t="s">
        <v>67</v>
      </c>
      <c r="F41" s="2">
        <v>7.9123999999999972E-2</v>
      </c>
      <c r="G41">
        <v>4.9428000000000001</v>
      </c>
      <c r="H41" s="2">
        <f t="shared" si="0"/>
        <v>4.9428E-2</v>
      </c>
      <c r="I41" s="2">
        <f t="shared" si="1"/>
        <v>2.9695999999999972E-2</v>
      </c>
    </row>
    <row r="42" spans="1:9" x14ac:dyDescent="0.35">
      <c r="A42">
        <v>1</v>
      </c>
      <c r="B42" t="s">
        <v>17</v>
      </c>
      <c r="C42" t="s">
        <v>64</v>
      </c>
      <c r="D42" t="s">
        <v>13</v>
      </c>
      <c r="E42" t="s">
        <v>51</v>
      </c>
      <c r="F42" s="2">
        <v>0.99535700000000005</v>
      </c>
      <c r="G42">
        <v>99.537700000000001</v>
      </c>
      <c r="H42" s="2">
        <f t="shared" si="0"/>
        <v>0.99537699999999996</v>
      </c>
      <c r="I42" s="2">
        <f t="shared" si="1"/>
        <v>1.9999999999908979E-5</v>
      </c>
    </row>
    <row r="43" spans="1:9" x14ac:dyDescent="0.35">
      <c r="A43">
        <v>1</v>
      </c>
      <c r="B43" t="s">
        <v>17</v>
      </c>
      <c r="C43" t="s">
        <v>64</v>
      </c>
      <c r="D43" t="s">
        <v>32</v>
      </c>
      <c r="E43" t="s">
        <v>69</v>
      </c>
      <c r="F43" s="2">
        <v>3.6923000000000039E-2</v>
      </c>
      <c r="G43">
        <v>2.1530999999999998</v>
      </c>
      <c r="H43" s="2">
        <f t="shared" si="0"/>
        <v>2.1530999999999998E-2</v>
      </c>
      <c r="I43" s="2">
        <f t="shared" si="1"/>
        <v>1.5392000000000041E-2</v>
      </c>
    </row>
    <row r="44" spans="1:9" x14ac:dyDescent="0.35">
      <c r="A44">
        <v>1</v>
      </c>
      <c r="B44" t="s">
        <v>17</v>
      </c>
      <c r="C44" t="s">
        <v>64</v>
      </c>
      <c r="D44" t="s">
        <v>33</v>
      </c>
      <c r="E44" t="s">
        <v>70</v>
      </c>
      <c r="F44" s="2">
        <v>2.0313000000000029E-2</v>
      </c>
      <c r="G44">
        <v>0.94489999999999996</v>
      </c>
      <c r="H44" s="2">
        <f t="shared" si="0"/>
        <v>9.4489999999999991E-3</v>
      </c>
      <c r="I44" s="2">
        <f t="shared" si="1"/>
        <v>1.086400000000003E-2</v>
      </c>
    </row>
    <row r="45" spans="1:9" x14ac:dyDescent="0.35">
      <c r="A45">
        <v>1</v>
      </c>
      <c r="B45" t="s">
        <v>17</v>
      </c>
      <c r="C45" t="s">
        <v>64</v>
      </c>
      <c r="D45" t="s">
        <v>34</v>
      </c>
      <c r="E45" t="s">
        <v>71</v>
      </c>
      <c r="F45" s="2">
        <v>1.2066000000000019E-2</v>
      </c>
      <c r="G45">
        <v>0.44059999999999999</v>
      </c>
      <c r="H45" s="2">
        <f t="shared" si="0"/>
        <v>4.4060000000000002E-3</v>
      </c>
      <c r="I45" s="2">
        <f t="shared" si="1"/>
        <v>7.6600000000000192E-3</v>
      </c>
    </row>
    <row r="46" spans="1:9" x14ac:dyDescent="0.35">
      <c r="A46">
        <v>1</v>
      </c>
      <c r="B46" t="s">
        <v>17</v>
      </c>
      <c r="C46" t="s">
        <v>64</v>
      </c>
      <c r="D46" t="s">
        <v>35</v>
      </c>
      <c r="E46" t="s">
        <v>72</v>
      </c>
      <c r="F46" s="2">
        <v>7.1360000000000312E-3</v>
      </c>
      <c r="G46">
        <v>0.18659999999999999</v>
      </c>
      <c r="H46" s="2">
        <f t="shared" si="0"/>
        <v>1.8659999999999998E-3</v>
      </c>
      <c r="I46" s="2">
        <f t="shared" si="1"/>
        <v>5.2700000000000316E-3</v>
      </c>
    </row>
    <row r="47" spans="1:9" x14ac:dyDescent="0.35">
      <c r="A47">
        <v>1</v>
      </c>
      <c r="B47" t="s">
        <v>17</v>
      </c>
      <c r="C47" t="s">
        <v>64</v>
      </c>
      <c r="D47" t="s">
        <v>36</v>
      </c>
      <c r="E47" t="s">
        <v>73</v>
      </c>
      <c r="F47" s="2">
        <v>4.338000000000064E-3</v>
      </c>
      <c r="G47">
        <v>6.0999999999999999E-2</v>
      </c>
      <c r="H47" s="2">
        <f t="shared" si="0"/>
        <v>6.0999999999999997E-4</v>
      </c>
      <c r="I47" s="2">
        <f t="shared" si="1"/>
        <v>3.7280000000000642E-3</v>
      </c>
    </row>
    <row r="48" spans="1:9" x14ac:dyDescent="0.35">
      <c r="A48">
        <v>1</v>
      </c>
      <c r="B48" t="s">
        <v>17</v>
      </c>
      <c r="C48" t="s">
        <v>64</v>
      </c>
      <c r="D48" t="s">
        <v>37</v>
      </c>
      <c r="E48" t="s">
        <v>74</v>
      </c>
      <c r="F48" s="2">
        <v>2.7719999999999971E-3</v>
      </c>
      <c r="G48">
        <v>1.6799999999999999E-2</v>
      </c>
      <c r="H48" s="2">
        <f t="shared" si="0"/>
        <v>1.6799999999999999E-4</v>
      </c>
      <c r="I48" s="2">
        <f t="shared" si="1"/>
        <v>2.6039999999999969E-3</v>
      </c>
    </row>
    <row r="49" spans="1:9" x14ac:dyDescent="0.35">
      <c r="A49">
        <v>1</v>
      </c>
      <c r="B49" t="s">
        <v>17</v>
      </c>
      <c r="C49" t="s">
        <v>64</v>
      </c>
      <c r="D49" t="s">
        <v>38</v>
      </c>
      <c r="E49" t="s">
        <v>75</v>
      </c>
      <c r="F49" s="2">
        <v>1.939000000000024E-3</v>
      </c>
      <c r="G49">
        <v>8.0999999999999996E-3</v>
      </c>
      <c r="H49" s="2">
        <f t="shared" si="0"/>
        <v>8.099999999999999E-5</v>
      </c>
      <c r="I49" s="2">
        <f t="shared" si="1"/>
        <v>1.8580000000000241E-3</v>
      </c>
    </row>
    <row r="50" spans="1:9" x14ac:dyDescent="0.35">
      <c r="A50">
        <v>1</v>
      </c>
      <c r="B50" t="s">
        <v>17</v>
      </c>
      <c r="C50" t="s">
        <v>64</v>
      </c>
      <c r="D50" t="s">
        <v>39</v>
      </c>
      <c r="E50" t="s">
        <v>78</v>
      </c>
      <c r="F50" s="2">
        <v>1.2429999999999939E-3</v>
      </c>
      <c r="G50">
        <v>3.7000000000000002E-3</v>
      </c>
      <c r="H50" s="2">
        <f t="shared" si="0"/>
        <v>3.7000000000000005E-5</v>
      </c>
      <c r="I50" s="2">
        <f t="shared" si="1"/>
        <v>1.205999999999994E-3</v>
      </c>
    </row>
    <row r="51" spans="1:9" x14ac:dyDescent="0.35">
      <c r="A51">
        <v>1</v>
      </c>
      <c r="B51" t="s">
        <v>17</v>
      </c>
      <c r="C51" t="s">
        <v>64</v>
      </c>
      <c r="D51" t="s">
        <v>40</v>
      </c>
      <c r="E51" t="s">
        <v>79</v>
      </c>
      <c r="F51" s="2">
        <v>6.4799999999998192E-4</v>
      </c>
      <c r="G51">
        <v>8.9999999999999998E-4</v>
      </c>
      <c r="H51" s="2">
        <f t="shared" si="0"/>
        <v>9.0000000000000002E-6</v>
      </c>
      <c r="I51" s="2">
        <f t="shared" si="1"/>
        <v>6.3899999999998192E-4</v>
      </c>
    </row>
    <row r="52" spans="1:9" x14ac:dyDescent="0.35">
      <c r="A52">
        <v>1</v>
      </c>
      <c r="B52" t="s">
        <v>17</v>
      </c>
      <c r="C52" t="s">
        <v>64</v>
      </c>
      <c r="D52" t="s">
        <v>41</v>
      </c>
      <c r="E52" t="s">
        <v>80</v>
      </c>
      <c r="F52" s="2">
        <v>3.1700000000001172E-4</v>
      </c>
      <c r="G52">
        <v>1E-4</v>
      </c>
      <c r="H52" s="2">
        <f t="shared" si="0"/>
        <v>9.9999999999999995E-7</v>
      </c>
      <c r="I52" s="2">
        <f t="shared" si="1"/>
        <v>3.1600000000001169E-4</v>
      </c>
    </row>
    <row r="53" spans="1:9" x14ac:dyDescent="0.35">
      <c r="A53">
        <v>1</v>
      </c>
      <c r="B53" t="s">
        <v>12</v>
      </c>
      <c r="C53" t="s">
        <v>62</v>
      </c>
      <c r="D53" t="s">
        <v>6</v>
      </c>
      <c r="E53" t="s">
        <v>45</v>
      </c>
      <c r="F53" s="2">
        <v>0.99993500000000002</v>
      </c>
      <c r="G53">
        <v>99.997500000000002</v>
      </c>
      <c r="H53" s="2">
        <f t="shared" si="0"/>
        <v>0.99997500000000006</v>
      </c>
      <c r="I53" s="2">
        <f t="shared" si="1"/>
        <v>4.0000000000040004E-5</v>
      </c>
    </row>
    <row r="54" spans="1:9" x14ac:dyDescent="0.35">
      <c r="A54">
        <v>1</v>
      </c>
      <c r="B54" t="s">
        <v>12</v>
      </c>
      <c r="C54" t="s">
        <v>62</v>
      </c>
      <c r="D54" t="s">
        <v>14</v>
      </c>
      <c r="E54" t="s">
        <v>56</v>
      </c>
      <c r="F54" s="2">
        <v>0.46512700000000001</v>
      </c>
      <c r="G54">
        <v>34.563800000000001</v>
      </c>
      <c r="H54" s="2">
        <f t="shared" si="0"/>
        <v>0.345638</v>
      </c>
      <c r="I54" s="2">
        <f t="shared" si="1"/>
        <v>0.11948900000000001</v>
      </c>
    </row>
    <row r="55" spans="1:9" x14ac:dyDescent="0.35">
      <c r="A55">
        <v>1</v>
      </c>
      <c r="B55" t="s">
        <v>12</v>
      </c>
      <c r="C55" t="s">
        <v>62</v>
      </c>
      <c r="D55" t="s">
        <v>15</v>
      </c>
      <c r="E55" t="s">
        <v>57</v>
      </c>
      <c r="F55" s="2">
        <v>0.15596399999999999</v>
      </c>
      <c r="G55">
        <v>5.7046000000000001</v>
      </c>
      <c r="H55" s="2">
        <f t="shared" si="0"/>
        <v>5.7045999999999999E-2</v>
      </c>
      <c r="I55" s="2">
        <f t="shared" si="1"/>
        <v>9.8917999999999992E-2</v>
      </c>
    </row>
    <row r="56" spans="1:9" x14ac:dyDescent="0.35">
      <c r="A56">
        <v>1</v>
      </c>
      <c r="B56" t="s">
        <v>12</v>
      </c>
      <c r="C56" t="s">
        <v>62</v>
      </c>
      <c r="D56" t="s">
        <v>16</v>
      </c>
      <c r="E56" t="s">
        <v>58</v>
      </c>
      <c r="F56" s="2">
        <v>1.113600000000003E-2</v>
      </c>
      <c r="G56">
        <v>0.1976</v>
      </c>
      <c r="H56" s="2">
        <f t="shared" si="0"/>
        <v>1.9759999999999999E-3</v>
      </c>
      <c r="I56" s="2">
        <f t="shared" si="1"/>
        <v>9.1600000000000292E-3</v>
      </c>
    </row>
    <row r="57" spans="1:9" x14ac:dyDescent="0.35">
      <c r="A57">
        <v>1</v>
      </c>
      <c r="B57" t="s">
        <v>12</v>
      </c>
      <c r="C57" t="s">
        <v>62</v>
      </c>
      <c r="D57" t="s">
        <v>18</v>
      </c>
      <c r="E57" t="s">
        <v>59</v>
      </c>
      <c r="F57" s="2">
        <v>2.4299999999999319E-4</v>
      </c>
      <c r="G57">
        <v>1.6999999999999999E-3</v>
      </c>
      <c r="H57" s="2">
        <f t="shared" si="0"/>
        <v>1.7E-5</v>
      </c>
      <c r="I57" s="2">
        <f t="shared" si="1"/>
        <v>2.2599999999999319E-4</v>
      </c>
    </row>
    <row r="58" spans="1:9" x14ac:dyDescent="0.35">
      <c r="A58">
        <v>1</v>
      </c>
      <c r="B58" t="s">
        <v>12</v>
      </c>
      <c r="C58" t="s">
        <v>62</v>
      </c>
      <c r="D58" t="s">
        <v>13</v>
      </c>
      <c r="E58" t="s">
        <v>51</v>
      </c>
      <c r="F58" s="2">
        <v>0.89803699999999997</v>
      </c>
      <c r="G58">
        <v>83.117800000000003</v>
      </c>
      <c r="H58" s="2">
        <f t="shared" si="0"/>
        <v>0.83117799999999997</v>
      </c>
      <c r="I58" s="2">
        <f t="shared" si="1"/>
        <v>6.6859000000000002E-2</v>
      </c>
    </row>
    <row r="59" spans="1:9" x14ac:dyDescent="0.35">
      <c r="A59">
        <v>1</v>
      </c>
      <c r="B59" t="s">
        <v>5</v>
      </c>
      <c r="C59" t="s">
        <v>5</v>
      </c>
      <c r="D59" t="s">
        <v>6</v>
      </c>
      <c r="E59" t="s">
        <v>45</v>
      </c>
      <c r="F59" s="2">
        <v>0.70595000000000008</v>
      </c>
      <c r="G59">
        <v>81.207599999999999</v>
      </c>
      <c r="H59" s="2">
        <f t="shared" si="0"/>
        <v>0.81207600000000002</v>
      </c>
      <c r="I59" s="2">
        <f t="shared" si="1"/>
        <v>0.10612599999999994</v>
      </c>
    </row>
    <row r="60" spans="1:9" x14ac:dyDescent="0.35">
      <c r="A60">
        <v>1</v>
      </c>
      <c r="B60" t="s">
        <v>5</v>
      </c>
      <c r="C60" t="s">
        <v>5</v>
      </c>
      <c r="D60" t="s">
        <v>8</v>
      </c>
      <c r="E60" t="s">
        <v>47</v>
      </c>
      <c r="F60" s="2">
        <v>0.36586700000000011</v>
      </c>
      <c r="G60">
        <v>55.767200000000003</v>
      </c>
      <c r="H60" s="2">
        <f t="shared" si="0"/>
        <v>0.55767200000000006</v>
      </c>
      <c r="I60" s="2">
        <f t="shared" si="1"/>
        <v>0.19180499999999995</v>
      </c>
    </row>
    <row r="61" spans="1:9" x14ac:dyDescent="0.35">
      <c r="A61">
        <v>1</v>
      </c>
      <c r="B61" t="s">
        <v>5</v>
      </c>
      <c r="C61" t="s">
        <v>5</v>
      </c>
      <c r="D61" t="s">
        <v>14</v>
      </c>
      <c r="E61" t="s">
        <v>56</v>
      </c>
      <c r="F61" s="2">
        <v>3.1982000000000073E-2</v>
      </c>
      <c r="G61">
        <v>2.8407</v>
      </c>
      <c r="H61" s="2">
        <f t="shared" si="0"/>
        <v>2.8407000000000002E-2</v>
      </c>
      <c r="I61" s="2">
        <f t="shared" si="1"/>
        <v>3.5750000000000712E-3</v>
      </c>
    </row>
    <row r="62" spans="1:9" x14ac:dyDescent="0.35">
      <c r="A62">
        <v>1</v>
      </c>
      <c r="B62" t="s">
        <v>5</v>
      </c>
      <c r="C62" t="s">
        <v>5</v>
      </c>
      <c r="D62" t="s">
        <v>15</v>
      </c>
      <c r="E62" t="s">
        <v>57</v>
      </c>
      <c r="F62" s="2">
        <v>6.956999999999991E-3</v>
      </c>
      <c r="G62">
        <v>0.64080000000000004</v>
      </c>
      <c r="H62" s="2">
        <f t="shared" si="0"/>
        <v>6.4080000000000005E-3</v>
      </c>
      <c r="I62" s="2">
        <f t="shared" si="1"/>
        <v>5.4899999999999047E-4</v>
      </c>
    </row>
    <row r="63" spans="1:9" x14ac:dyDescent="0.35">
      <c r="A63">
        <v>1</v>
      </c>
      <c r="B63" t="s">
        <v>5</v>
      </c>
      <c r="C63" t="s">
        <v>5</v>
      </c>
      <c r="D63" t="s">
        <v>9</v>
      </c>
      <c r="E63" t="s">
        <v>48</v>
      </c>
      <c r="F63" s="2">
        <v>0.27748400000000001</v>
      </c>
      <c r="G63">
        <v>38.117899999999999</v>
      </c>
      <c r="H63" s="2">
        <f t="shared" si="0"/>
        <v>0.38117899999999999</v>
      </c>
      <c r="I63" s="2">
        <f t="shared" si="1"/>
        <v>0.10369499999999998</v>
      </c>
    </row>
    <row r="64" spans="1:9" x14ac:dyDescent="0.35">
      <c r="A64">
        <v>1</v>
      </c>
      <c r="B64" t="s">
        <v>5</v>
      </c>
      <c r="C64" t="s">
        <v>5</v>
      </c>
      <c r="D64" t="s">
        <v>16</v>
      </c>
      <c r="E64" t="s">
        <v>58</v>
      </c>
      <c r="F64" s="2">
        <v>9.2100000000006066E-4</v>
      </c>
      <c r="G64">
        <v>0.24310000000000001</v>
      </c>
      <c r="H64" s="2">
        <f t="shared" si="0"/>
        <v>2.431E-3</v>
      </c>
      <c r="I64" s="2">
        <f t="shared" si="1"/>
        <v>1.5099999999999393E-3</v>
      </c>
    </row>
    <row r="65" spans="1:9" x14ac:dyDescent="0.35">
      <c r="A65">
        <v>1</v>
      </c>
      <c r="B65" t="s">
        <v>5</v>
      </c>
      <c r="C65" t="s">
        <v>5</v>
      </c>
      <c r="D65" t="s">
        <v>18</v>
      </c>
      <c r="E65" t="s">
        <v>59</v>
      </c>
      <c r="F65" s="2">
        <v>1.0000000000287561E-6</v>
      </c>
      <c r="G65">
        <v>9.9299999999999999E-2</v>
      </c>
      <c r="H65" s="2">
        <f t="shared" si="0"/>
        <v>9.9299999999999996E-4</v>
      </c>
      <c r="I65" s="2">
        <f t="shared" si="1"/>
        <v>9.919999999999712E-4</v>
      </c>
    </row>
    <row r="66" spans="1:9" x14ac:dyDescent="0.35">
      <c r="A66">
        <v>1</v>
      </c>
      <c r="B66" t="s">
        <v>5</v>
      </c>
      <c r="C66" t="s">
        <v>5</v>
      </c>
      <c r="D66" t="s">
        <v>10</v>
      </c>
      <c r="E66" t="s">
        <v>49</v>
      </c>
      <c r="F66" s="2">
        <v>0.216997</v>
      </c>
      <c r="G66">
        <v>27.403400000000001</v>
      </c>
      <c r="H66" s="2">
        <f t="shared" si="0"/>
        <v>0.274034</v>
      </c>
      <c r="I66" s="2">
        <f t="shared" si="1"/>
        <v>5.7037000000000004E-2</v>
      </c>
    </row>
    <row r="67" spans="1:9" x14ac:dyDescent="0.35">
      <c r="A67">
        <v>1</v>
      </c>
      <c r="B67" t="s">
        <v>5</v>
      </c>
      <c r="C67" t="s">
        <v>5</v>
      </c>
      <c r="D67" t="s">
        <v>11</v>
      </c>
      <c r="E67" t="s">
        <v>50</v>
      </c>
      <c r="F67" s="2">
        <v>0.17056099999999999</v>
      </c>
      <c r="G67">
        <v>20.588200000000001</v>
      </c>
      <c r="H67" s="2">
        <f t="shared" ref="H67:H103" si="2">G67/100</f>
        <v>0.20588200000000001</v>
      </c>
      <c r="I67" s="2">
        <f t="shared" ref="I67:I103" si="3">ABS(F67-H67)</f>
        <v>3.5321000000000019E-2</v>
      </c>
    </row>
    <row r="68" spans="1:9" x14ac:dyDescent="0.35">
      <c r="A68">
        <v>1</v>
      </c>
      <c r="B68" t="s">
        <v>5</v>
      </c>
      <c r="C68" t="s">
        <v>5</v>
      </c>
      <c r="D68" t="s">
        <v>13</v>
      </c>
      <c r="E68" t="s">
        <v>51</v>
      </c>
      <c r="F68" s="2">
        <v>0.13511899999999999</v>
      </c>
      <c r="G68">
        <v>15.8406</v>
      </c>
      <c r="H68" s="2">
        <f t="shared" si="2"/>
        <v>0.15840599999999999</v>
      </c>
      <c r="I68" s="2">
        <f t="shared" si="3"/>
        <v>2.3287000000000002E-2</v>
      </c>
    </row>
    <row r="69" spans="1:9" x14ac:dyDescent="0.35">
      <c r="A69">
        <v>1</v>
      </c>
      <c r="B69" t="s">
        <v>5</v>
      </c>
      <c r="C69" t="s">
        <v>5</v>
      </c>
      <c r="D69" t="s">
        <v>28</v>
      </c>
      <c r="E69" t="s">
        <v>52</v>
      </c>
      <c r="F69" s="2">
        <v>0.10452699999999999</v>
      </c>
      <c r="G69">
        <v>12.269600000000001</v>
      </c>
      <c r="H69" s="2">
        <f t="shared" si="2"/>
        <v>0.122696</v>
      </c>
      <c r="I69" s="2">
        <f t="shared" si="3"/>
        <v>1.8169000000000005E-2</v>
      </c>
    </row>
    <row r="70" spans="1:9" x14ac:dyDescent="0.35">
      <c r="A70">
        <v>1</v>
      </c>
      <c r="B70" t="s">
        <v>5</v>
      </c>
      <c r="C70" t="s">
        <v>5</v>
      </c>
      <c r="D70" t="s">
        <v>29</v>
      </c>
      <c r="E70" t="s">
        <v>53</v>
      </c>
      <c r="F70" s="2">
        <v>8.1347000000000058E-2</v>
      </c>
      <c r="G70">
        <v>9.2951999999999995</v>
      </c>
      <c r="H70" s="2">
        <f t="shared" si="2"/>
        <v>9.2951999999999993E-2</v>
      </c>
      <c r="I70" s="2">
        <f t="shared" si="3"/>
        <v>1.1604999999999935E-2</v>
      </c>
    </row>
    <row r="71" spans="1:9" x14ac:dyDescent="0.35">
      <c r="A71">
        <v>1</v>
      </c>
      <c r="B71" t="s">
        <v>5</v>
      </c>
      <c r="C71" t="s">
        <v>5</v>
      </c>
      <c r="D71" t="s">
        <v>30</v>
      </c>
      <c r="E71" t="s">
        <v>54</v>
      </c>
      <c r="F71" s="2">
        <v>6.085700000000005E-2</v>
      </c>
      <c r="G71">
        <v>6.5739999999999998</v>
      </c>
      <c r="H71" s="2">
        <f t="shared" si="2"/>
        <v>6.5739999999999993E-2</v>
      </c>
      <c r="I71" s="2">
        <f t="shared" si="3"/>
        <v>4.8829999999999429E-3</v>
      </c>
    </row>
    <row r="72" spans="1:9" x14ac:dyDescent="0.35">
      <c r="A72">
        <v>1</v>
      </c>
      <c r="B72" t="s">
        <v>5</v>
      </c>
      <c r="C72" t="s">
        <v>5</v>
      </c>
      <c r="D72" t="s">
        <v>31</v>
      </c>
      <c r="E72" t="s">
        <v>55</v>
      </c>
      <c r="F72" s="2">
        <v>4.5020999999999978E-2</v>
      </c>
      <c r="G72">
        <v>4.3827999999999996</v>
      </c>
      <c r="H72" s="2">
        <f t="shared" si="2"/>
        <v>4.3827999999999999E-2</v>
      </c>
      <c r="I72" s="2">
        <f t="shared" si="3"/>
        <v>1.1929999999999788E-3</v>
      </c>
    </row>
    <row r="73" spans="1:9" x14ac:dyDescent="0.35">
      <c r="A73">
        <v>2</v>
      </c>
      <c r="B73" t="s">
        <v>23</v>
      </c>
      <c r="C73" t="s">
        <v>23</v>
      </c>
      <c r="D73" t="s">
        <v>27</v>
      </c>
      <c r="F73" s="2">
        <v>1.0000000000287561E-6</v>
      </c>
      <c r="G73">
        <v>0</v>
      </c>
      <c r="H73" s="2">
        <f t="shared" si="2"/>
        <v>0</v>
      </c>
      <c r="I73" s="2">
        <f t="shared" si="3"/>
        <v>1.0000000000287561E-6</v>
      </c>
    </row>
    <row r="74" spans="1:9" x14ac:dyDescent="0.35">
      <c r="A74">
        <v>2</v>
      </c>
      <c r="B74" t="s">
        <v>23</v>
      </c>
      <c r="C74" t="s">
        <v>23</v>
      </c>
      <c r="D74" t="s">
        <v>24</v>
      </c>
      <c r="F74" s="2">
        <v>5.4939999999999989E-3</v>
      </c>
      <c r="G74">
        <v>0</v>
      </c>
      <c r="H74" s="2">
        <f t="shared" si="2"/>
        <v>0</v>
      </c>
      <c r="I74" s="2">
        <f t="shared" si="3"/>
        <v>5.4939999999999989E-3</v>
      </c>
    </row>
    <row r="75" spans="1:9" x14ac:dyDescent="0.35">
      <c r="A75">
        <v>2</v>
      </c>
      <c r="B75" t="s">
        <v>23</v>
      </c>
      <c r="C75" t="s">
        <v>23</v>
      </c>
      <c r="D75" t="s">
        <v>25</v>
      </c>
      <c r="F75" s="2">
        <v>1.0000000000287561E-6</v>
      </c>
      <c r="G75">
        <v>0</v>
      </c>
      <c r="H75" s="2">
        <f t="shared" si="2"/>
        <v>0</v>
      </c>
      <c r="I75" s="2">
        <f t="shared" si="3"/>
        <v>1.0000000000287561E-6</v>
      </c>
    </row>
    <row r="76" spans="1:9" x14ac:dyDescent="0.35">
      <c r="A76">
        <v>2</v>
      </c>
      <c r="B76" t="s">
        <v>23</v>
      </c>
      <c r="C76" t="s">
        <v>23</v>
      </c>
      <c r="D76" t="s">
        <v>26</v>
      </c>
      <c r="F76" s="2">
        <v>1.0000000000287561E-6</v>
      </c>
      <c r="G76">
        <v>0</v>
      </c>
      <c r="H76" s="2">
        <f t="shared" si="2"/>
        <v>0</v>
      </c>
      <c r="I76" s="2">
        <f t="shared" si="3"/>
        <v>1.0000000000287561E-6</v>
      </c>
    </row>
    <row r="77" spans="1:9" x14ac:dyDescent="0.35">
      <c r="A77">
        <v>2</v>
      </c>
      <c r="B77" t="s">
        <v>17</v>
      </c>
      <c r="C77" t="s">
        <v>64</v>
      </c>
      <c r="D77" t="s">
        <v>6</v>
      </c>
      <c r="E77" t="s">
        <v>45</v>
      </c>
      <c r="F77" s="2">
        <v>0.99993799999999999</v>
      </c>
      <c r="G77">
        <v>100</v>
      </c>
      <c r="H77" s="2">
        <f t="shared" si="2"/>
        <v>1</v>
      </c>
      <c r="I77" s="2">
        <f t="shared" si="3"/>
        <v>6.2000000000006494E-5</v>
      </c>
    </row>
    <row r="78" spans="1:9" x14ac:dyDescent="0.35">
      <c r="A78">
        <v>2</v>
      </c>
      <c r="B78" t="s">
        <v>17</v>
      </c>
      <c r="C78" t="s">
        <v>64</v>
      </c>
      <c r="D78" t="s">
        <v>14</v>
      </c>
      <c r="E78" t="s">
        <v>56</v>
      </c>
      <c r="F78" s="2">
        <v>0.99993799999999999</v>
      </c>
      <c r="G78">
        <v>100</v>
      </c>
      <c r="H78" s="2">
        <f t="shared" si="2"/>
        <v>1</v>
      </c>
      <c r="I78" s="2">
        <f t="shared" si="3"/>
        <v>6.2000000000006494E-5</v>
      </c>
    </row>
    <row r="79" spans="1:9" x14ac:dyDescent="0.35">
      <c r="A79">
        <v>2</v>
      </c>
      <c r="B79" t="s">
        <v>17</v>
      </c>
      <c r="C79" t="s">
        <v>64</v>
      </c>
      <c r="D79" t="s">
        <v>15</v>
      </c>
      <c r="E79" t="s">
        <v>57</v>
      </c>
      <c r="F79" s="2">
        <v>0.99993799999999999</v>
      </c>
      <c r="G79">
        <v>99.999600000000001</v>
      </c>
      <c r="H79" s="2">
        <f t="shared" si="2"/>
        <v>0.999996</v>
      </c>
      <c r="I79" s="2">
        <f t="shared" si="3"/>
        <v>5.8000000000002494E-5</v>
      </c>
    </row>
    <row r="80" spans="1:9" x14ac:dyDescent="0.35">
      <c r="A80">
        <v>2</v>
      </c>
      <c r="B80" t="s">
        <v>17</v>
      </c>
      <c r="C80" t="s">
        <v>64</v>
      </c>
      <c r="D80" t="s">
        <v>16</v>
      </c>
      <c r="E80" t="s">
        <v>58</v>
      </c>
      <c r="F80" s="2">
        <v>0.977379</v>
      </c>
      <c r="G80">
        <v>98.052499999999995</v>
      </c>
      <c r="H80" s="2">
        <f t="shared" si="2"/>
        <v>0.98052499999999998</v>
      </c>
      <c r="I80" s="2">
        <f t="shared" si="3"/>
        <v>3.1459999999999821E-3</v>
      </c>
    </row>
    <row r="81" spans="1:9" x14ac:dyDescent="0.35">
      <c r="A81">
        <v>2</v>
      </c>
      <c r="B81" t="s">
        <v>17</v>
      </c>
      <c r="C81" t="s">
        <v>64</v>
      </c>
      <c r="D81" t="s">
        <v>18</v>
      </c>
      <c r="E81" t="s">
        <v>59</v>
      </c>
      <c r="F81" s="2">
        <v>0.80764900000000006</v>
      </c>
      <c r="G81">
        <v>81.126000000000005</v>
      </c>
      <c r="H81" s="2">
        <f t="shared" si="2"/>
        <v>0.81126000000000009</v>
      </c>
      <c r="I81" s="2">
        <f t="shared" si="3"/>
        <v>3.6110000000000309E-3</v>
      </c>
    </row>
    <row r="82" spans="1:9" x14ac:dyDescent="0.35">
      <c r="A82">
        <v>2</v>
      </c>
      <c r="B82" t="s">
        <v>17</v>
      </c>
      <c r="C82" t="s">
        <v>64</v>
      </c>
      <c r="D82" t="s">
        <v>19</v>
      </c>
      <c r="E82" t="s">
        <v>60</v>
      </c>
      <c r="F82" s="2">
        <v>0.47874800000000001</v>
      </c>
      <c r="G82">
        <v>47.741999999999997</v>
      </c>
      <c r="H82" s="2">
        <f t="shared" si="2"/>
        <v>0.47741999999999996</v>
      </c>
      <c r="I82" s="2">
        <f t="shared" si="3"/>
        <v>1.3280000000000514E-3</v>
      </c>
    </row>
    <row r="83" spans="1:9" x14ac:dyDescent="0.35">
      <c r="A83">
        <v>2</v>
      </c>
      <c r="B83" t="s">
        <v>17</v>
      </c>
      <c r="C83" t="s">
        <v>64</v>
      </c>
      <c r="D83" t="s">
        <v>20</v>
      </c>
      <c r="E83" t="s">
        <v>65</v>
      </c>
      <c r="F83" s="2">
        <v>0.13314999999999999</v>
      </c>
      <c r="G83">
        <v>13.636900000000001</v>
      </c>
      <c r="H83" s="2">
        <f t="shared" si="2"/>
        <v>0.13636900000000002</v>
      </c>
      <c r="I83" s="2">
        <f t="shared" si="3"/>
        <v>3.2190000000000274E-3</v>
      </c>
    </row>
    <row r="84" spans="1:9" x14ac:dyDescent="0.35">
      <c r="A84">
        <v>2</v>
      </c>
      <c r="B84" t="s">
        <v>17</v>
      </c>
      <c r="C84" t="s">
        <v>64</v>
      </c>
      <c r="D84" t="s">
        <v>21</v>
      </c>
      <c r="E84" t="s">
        <v>66</v>
      </c>
      <c r="F84" s="2">
        <v>9.4940000000000024E-3</v>
      </c>
      <c r="G84">
        <v>1.3005</v>
      </c>
      <c r="H84" s="2">
        <f t="shared" si="2"/>
        <v>1.3004999999999999E-2</v>
      </c>
      <c r="I84" s="2">
        <f t="shared" si="3"/>
        <v>3.5109999999999968E-3</v>
      </c>
    </row>
    <row r="85" spans="1:9" x14ac:dyDescent="0.35">
      <c r="A85">
        <v>2</v>
      </c>
      <c r="B85" t="s">
        <v>17</v>
      </c>
      <c r="C85" t="s">
        <v>64</v>
      </c>
      <c r="D85" t="s">
        <v>22</v>
      </c>
      <c r="E85" t="s">
        <v>67</v>
      </c>
      <c r="F85" s="2">
        <v>1.0000000000287561E-6</v>
      </c>
      <c r="G85">
        <v>8.3999999999999995E-3</v>
      </c>
      <c r="H85" s="2">
        <f t="shared" si="2"/>
        <v>8.3999999999999995E-5</v>
      </c>
      <c r="I85" s="2">
        <f t="shared" si="3"/>
        <v>8.299999999997124E-5</v>
      </c>
    </row>
    <row r="86" spans="1:9" x14ac:dyDescent="0.35">
      <c r="A86">
        <v>2</v>
      </c>
      <c r="B86" t="s">
        <v>17</v>
      </c>
      <c r="C86" t="s">
        <v>64</v>
      </c>
      <c r="D86" t="s">
        <v>13</v>
      </c>
      <c r="E86" t="s">
        <v>51</v>
      </c>
      <c r="F86" s="2">
        <v>0.99993799999999999</v>
      </c>
      <c r="G86">
        <v>100</v>
      </c>
      <c r="H86" s="2">
        <f t="shared" si="2"/>
        <v>1</v>
      </c>
      <c r="I86" s="2">
        <f t="shared" si="3"/>
        <v>6.2000000000006494E-5</v>
      </c>
    </row>
    <row r="87" spans="1:9" x14ac:dyDescent="0.35">
      <c r="A87">
        <v>2</v>
      </c>
      <c r="B87" t="s">
        <v>12</v>
      </c>
      <c r="C87" t="s">
        <v>62</v>
      </c>
      <c r="D87" t="s">
        <v>6</v>
      </c>
      <c r="E87" t="s">
        <v>45</v>
      </c>
      <c r="F87" s="2">
        <v>0.99993799999999999</v>
      </c>
      <c r="G87">
        <v>100</v>
      </c>
      <c r="H87" s="2">
        <f t="shared" si="2"/>
        <v>1</v>
      </c>
      <c r="I87" s="2">
        <f t="shared" si="3"/>
        <v>6.2000000000006494E-5</v>
      </c>
    </row>
    <row r="88" spans="1:9" x14ac:dyDescent="0.35">
      <c r="A88">
        <v>2</v>
      </c>
      <c r="B88" t="s">
        <v>12</v>
      </c>
      <c r="C88" t="s">
        <v>62</v>
      </c>
      <c r="D88" t="s">
        <v>14</v>
      </c>
      <c r="E88" t="s">
        <v>56</v>
      </c>
      <c r="F88" s="2">
        <v>0.99680500000000005</v>
      </c>
      <c r="G88">
        <v>99.632000000000005</v>
      </c>
      <c r="H88" s="2">
        <f t="shared" si="2"/>
        <v>0.99632000000000009</v>
      </c>
      <c r="I88" s="2">
        <f t="shared" si="3"/>
        <v>4.8499999999995769E-4</v>
      </c>
    </row>
    <row r="89" spans="1:9" x14ac:dyDescent="0.35">
      <c r="A89">
        <v>2</v>
      </c>
      <c r="B89" t="s">
        <v>12</v>
      </c>
      <c r="C89" t="s">
        <v>62</v>
      </c>
      <c r="D89" t="s">
        <v>15</v>
      </c>
      <c r="E89" t="s">
        <v>57</v>
      </c>
      <c r="F89" s="2">
        <v>0.76190000000000002</v>
      </c>
      <c r="G89">
        <v>78.401899999999998</v>
      </c>
      <c r="H89" s="2">
        <f t="shared" si="2"/>
        <v>0.78401900000000002</v>
      </c>
      <c r="I89" s="2">
        <f t="shared" si="3"/>
        <v>2.2119E-2</v>
      </c>
    </row>
    <row r="90" spans="1:9" x14ac:dyDescent="0.35">
      <c r="A90">
        <v>2</v>
      </c>
      <c r="B90" t="s">
        <v>12</v>
      </c>
      <c r="C90" t="s">
        <v>62</v>
      </c>
      <c r="D90" t="s">
        <v>16</v>
      </c>
      <c r="E90" t="s">
        <v>58</v>
      </c>
      <c r="F90" s="2">
        <v>0.171068</v>
      </c>
      <c r="G90">
        <v>24.2682</v>
      </c>
      <c r="H90" s="2">
        <f t="shared" si="2"/>
        <v>0.24268200000000001</v>
      </c>
      <c r="I90" s="2">
        <f t="shared" si="3"/>
        <v>7.1614000000000011E-2</v>
      </c>
    </row>
    <row r="91" spans="1:9" x14ac:dyDescent="0.35">
      <c r="A91">
        <v>2</v>
      </c>
      <c r="B91" t="s">
        <v>12</v>
      </c>
      <c r="C91" t="s">
        <v>62</v>
      </c>
      <c r="D91" t="s">
        <v>18</v>
      </c>
      <c r="E91" t="s">
        <v>59</v>
      </c>
      <c r="F91" s="2">
        <v>7.2899999999997966E-4</v>
      </c>
      <c r="G91">
        <v>0.60699999999999998</v>
      </c>
      <c r="H91" s="2">
        <f t="shared" si="2"/>
        <v>6.0699999999999999E-3</v>
      </c>
      <c r="I91" s="2">
        <f t="shared" si="3"/>
        <v>5.3410000000000202E-3</v>
      </c>
    </row>
    <row r="92" spans="1:9" x14ac:dyDescent="0.35">
      <c r="A92">
        <v>2</v>
      </c>
      <c r="B92" t="s">
        <v>12</v>
      </c>
      <c r="C92" t="s">
        <v>62</v>
      </c>
      <c r="D92" t="s">
        <v>13</v>
      </c>
      <c r="E92" t="s">
        <v>51</v>
      </c>
      <c r="F92" s="2">
        <v>0.99993799999999999</v>
      </c>
      <c r="G92">
        <v>100</v>
      </c>
      <c r="H92" s="2">
        <f t="shared" si="2"/>
        <v>1</v>
      </c>
      <c r="I92" s="2">
        <f t="shared" si="3"/>
        <v>6.2000000000006494E-5</v>
      </c>
    </row>
    <row r="93" spans="1:9" x14ac:dyDescent="0.35">
      <c r="A93">
        <v>2</v>
      </c>
      <c r="B93" t="s">
        <v>5</v>
      </c>
      <c r="C93" t="s">
        <v>5</v>
      </c>
      <c r="D93" t="s">
        <v>6</v>
      </c>
      <c r="E93" t="s">
        <v>45</v>
      </c>
      <c r="F93" s="2">
        <v>0.54410000000000003</v>
      </c>
      <c r="G93">
        <v>59.940399999999997</v>
      </c>
      <c r="H93" s="2">
        <f t="shared" si="2"/>
        <v>0.59940399999999994</v>
      </c>
      <c r="I93" s="2">
        <f t="shared" si="3"/>
        <v>5.5303999999999909E-2</v>
      </c>
    </row>
    <row r="94" spans="1:9" x14ac:dyDescent="0.35">
      <c r="A94">
        <v>2</v>
      </c>
      <c r="B94" t="s">
        <v>5</v>
      </c>
      <c r="C94" t="s">
        <v>5</v>
      </c>
      <c r="D94" t="s">
        <v>8</v>
      </c>
      <c r="E94" t="s">
        <v>47</v>
      </c>
      <c r="F94" s="2">
        <v>1.5828999999999979E-2</v>
      </c>
      <c r="G94">
        <v>3.7650000000000001</v>
      </c>
      <c r="H94" s="2">
        <f t="shared" si="2"/>
        <v>3.7650000000000003E-2</v>
      </c>
      <c r="I94" s="2">
        <f t="shared" si="3"/>
        <v>2.1821000000000024E-2</v>
      </c>
    </row>
    <row r="95" spans="1:9" x14ac:dyDescent="0.35">
      <c r="A95">
        <v>2</v>
      </c>
      <c r="B95" t="s">
        <v>5</v>
      </c>
      <c r="C95" t="s">
        <v>5</v>
      </c>
      <c r="D95" t="s">
        <v>14</v>
      </c>
      <c r="E95" t="s">
        <v>56</v>
      </c>
      <c r="F95" s="2">
        <v>1.17299999999998E-3</v>
      </c>
      <c r="G95">
        <v>4.0800000000000003E-2</v>
      </c>
      <c r="H95" s="2">
        <f t="shared" si="2"/>
        <v>4.0800000000000005E-4</v>
      </c>
      <c r="I95" s="2">
        <f t="shared" si="3"/>
        <v>7.6499999999998E-4</v>
      </c>
    </row>
    <row r="96" spans="1:9" x14ac:dyDescent="0.35">
      <c r="A96">
        <v>2</v>
      </c>
      <c r="B96" t="s">
        <v>5</v>
      </c>
      <c r="C96" t="s">
        <v>5</v>
      </c>
      <c r="D96" t="s">
        <v>9</v>
      </c>
      <c r="E96" t="s">
        <v>48</v>
      </c>
      <c r="F96" s="2">
        <v>8.7749999999999773E-3</v>
      </c>
      <c r="G96">
        <v>0.91869999999999996</v>
      </c>
      <c r="H96" s="2">
        <f t="shared" si="2"/>
        <v>9.186999999999999E-3</v>
      </c>
      <c r="I96" s="2">
        <f t="shared" si="3"/>
        <v>4.1200000000002172E-4</v>
      </c>
    </row>
    <row r="97" spans="1:9" x14ac:dyDescent="0.35">
      <c r="A97">
        <v>2</v>
      </c>
      <c r="B97" t="s">
        <v>5</v>
      </c>
      <c r="C97" t="s">
        <v>5</v>
      </c>
      <c r="D97" t="s">
        <v>10</v>
      </c>
      <c r="E97" t="s">
        <v>49</v>
      </c>
      <c r="F97" s="2">
        <v>3.808000000000034E-3</v>
      </c>
      <c r="G97">
        <v>0.74850000000000005</v>
      </c>
      <c r="H97" s="2">
        <f t="shared" si="2"/>
        <v>7.4850000000000003E-3</v>
      </c>
      <c r="I97" s="2">
        <f t="shared" si="3"/>
        <v>3.6769999999999663E-3</v>
      </c>
    </row>
    <row r="98" spans="1:9" x14ac:dyDescent="0.35">
      <c r="A98">
        <v>2</v>
      </c>
      <c r="B98" t="s">
        <v>5</v>
      </c>
      <c r="C98" t="s">
        <v>5</v>
      </c>
      <c r="D98" t="s">
        <v>11</v>
      </c>
      <c r="E98" t="s">
        <v>50</v>
      </c>
      <c r="F98" s="2">
        <v>2.2340000000000688E-3</v>
      </c>
      <c r="G98">
        <v>0.35270000000000001</v>
      </c>
      <c r="H98" s="2">
        <f t="shared" si="2"/>
        <v>3.5270000000000002E-3</v>
      </c>
      <c r="I98" s="2">
        <f t="shared" si="3"/>
        <v>1.2929999999999314E-3</v>
      </c>
    </row>
    <row r="99" spans="1:9" x14ac:dyDescent="0.35">
      <c r="A99">
        <v>2</v>
      </c>
      <c r="B99" t="s">
        <v>5</v>
      </c>
      <c r="C99" t="s">
        <v>5</v>
      </c>
      <c r="D99" t="s">
        <v>13</v>
      </c>
      <c r="E99" t="s">
        <v>51</v>
      </c>
      <c r="F99" s="2">
        <v>1.2149999999999661E-3</v>
      </c>
      <c r="G99">
        <v>0.22650000000000001</v>
      </c>
      <c r="H99" s="2">
        <f t="shared" si="2"/>
        <v>2.2650000000000001E-3</v>
      </c>
      <c r="I99" s="2">
        <f t="shared" si="3"/>
        <v>1.050000000000034E-3</v>
      </c>
    </row>
    <row r="100" spans="1:9" x14ac:dyDescent="0.35">
      <c r="A100">
        <v>2</v>
      </c>
      <c r="B100" t="s">
        <v>5</v>
      </c>
      <c r="C100" t="s">
        <v>5</v>
      </c>
      <c r="D100" t="s">
        <v>28</v>
      </c>
      <c r="E100" t="s">
        <v>52</v>
      </c>
      <c r="F100" s="2">
        <v>1.2070000000000689E-3</v>
      </c>
      <c r="G100">
        <v>0.14560000000000001</v>
      </c>
      <c r="H100" s="2">
        <f t="shared" si="2"/>
        <v>1.456E-3</v>
      </c>
      <c r="I100" s="2">
        <f t="shared" si="3"/>
        <v>2.4899999999993113E-4</v>
      </c>
    </row>
    <row r="101" spans="1:9" x14ac:dyDescent="0.35">
      <c r="A101">
        <v>2</v>
      </c>
      <c r="B101" t="s">
        <v>5</v>
      </c>
      <c r="C101" t="s">
        <v>5</v>
      </c>
      <c r="D101" t="s">
        <v>29</v>
      </c>
      <c r="E101" t="s">
        <v>53</v>
      </c>
      <c r="F101" s="2">
        <v>1.1980000000000319E-3</v>
      </c>
      <c r="G101">
        <v>9.69E-2</v>
      </c>
      <c r="H101" s="2">
        <f t="shared" si="2"/>
        <v>9.6900000000000003E-4</v>
      </c>
      <c r="I101" s="2">
        <f t="shared" si="3"/>
        <v>2.2900000000003191E-4</v>
      </c>
    </row>
    <row r="102" spans="1:9" x14ac:dyDescent="0.35">
      <c r="A102">
        <v>2</v>
      </c>
      <c r="B102" t="s">
        <v>5</v>
      </c>
      <c r="C102" t="s">
        <v>5</v>
      </c>
      <c r="D102" t="s">
        <v>30</v>
      </c>
      <c r="E102" t="s">
        <v>54</v>
      </c>
      <c r="F102" s="2">
        <v>1.1900000000000239E-3</v>
      </c>
      <c r="G102">
        <v>6.9599999999999995E-2</v>
      </c>
      <c r="H102" s="2">
        <f t="shared" si="2"/>
        <v>6.96E-4</v>
      </c>
      <c r="I102" s="2">
        <f t="shared" si="3"/>
        <v>4.9400000000002393E-4</v>
      </c>
    </row>
    <row r="103" spans="1:9" x14ac:dyDescent="0.35">
      <c r="A103">
        <v>2</v>
      </c>
      <c r="B103" t="s">
        <v>5</v>
      </c>
      <c r="C103" t="s">
        <v>5</v>
      </c>
      <c r="D103" t="s">
        <v>31</v>
      </c>
      <c r="E103" t="s">
        <v>55</v>
      </c>
      <c r="F103" s="2">
        <v>1.1820000000000159E-3</v>
      </c>
      <c r="G103">
        <v>5.33E-2</v>
      </c>
      <c r="H103" s="2">
        <f t="shared" si="2"/>
        <v>5.3300000000000005E-4</v>
      </c>
      <c r="I103" s="2">
        <f t="shared" si="3"/>
        <v>6.4900000000001588E-4</v>
      </c>
    </row>
  </sheetData>
  <conditionalFormatting sqref="I2:I103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4.5" x14ac:dyDescent="0.35"/>
  <sheetData>
    <row r="1" spans="1:2" x14ac:dyDescent="0.35">
      <c r="A1" s="1" t="s">
        <v>88</v>
      </c>
      <c r="B1" s="1" t="s">
        <v>3</v>
      </c>
    </row>
    <row r="2" spans="1:2" x14ac:dyDescent="0.35">
      <c r="A2" t="s">
        <v>89</v>
      </c>
      <c r="B2" t="s">
        <v>90</v>
      </c>
    </row>
    <row r="3" spans="1:2" x14ac:dyDescent="0.35">
      <c r="A3" t="s">
        <v>91</v>
      </c>
      <c r="B3" t="s">
        <v>92</v>
      </c>
    </row>
    <row r="4" spans="1:2" x14ac:dyDescent="0.35">
      <c r="A4" t="s">
        <v>93</v>
      </c>
      <c r="B4" t="s">
        <v>94</v>
      </c>
    </row>
    <row r="6" spans="1:2" x14ac:dyDescent="0.35">
      <c r="A6" t="s">
        <v>95</v>
      </c>
      <c r="B6" t="s">
        <v>96</v>
      </c>
    </row>
    <row r="7" spans="1:2" x14ac:dyDescent="0.35">
      <c r="A7" t="s">
        <v>97</v>
      </c>
      <c r="B7" t="s">
        <v>98</v>
      </c>
    </row>
    <row r="8" spans="1:2" x14ac:dyDescent="0.35">
      <c r="A8" t="s">
        <v>99</v>
      </c>
      <c r="B8" t="s">
        <v>11</v>
      </c>
    </row>
    <row r="10" spans="1:2" x14ac:dyDescent="0.35">
      <c r="A10" t="s">
        <v>100</v>
      </c>
      <c r="B10" t="s">
        <v>10</v>
      </c>
    </row>
    <row r="12" spans="1:2" x14ac:dyDescent="0.35">
      <c r="A12" t="s">
        <v>101</v>
      </c>
    </row>
    <row r="13" spans="1:2" x14ac:dyDescent="0.35">
      <c r="A13" t="s">
        <v>102</v>
      </c>
      <c r="B13" t="s">
        <v>103</v>
      </c>
    </row>
    <row r="14" spans="1:2" x14ac:dyDescent="0.35">
      <c r="A14" t="s">
        <v>104</v>
      </c>
      <c r="B14" t="s">
        <v>105</v>
      </c>
    </row>
    <row r="15" spans="1:2" x14ac:dyDescent="0.35">
      <c r="A15" t="s">
        <v>106</v>
      </c>
      <c r="B1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stage</vt:lpstr>
      <vt:lpstr>prod</vt:lpstr>
      <vt:lpstr>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Pyne, William</cp:lastModifiedBy>
  <dcterms:created xsi:type="dcterms:W3CDTF">2026-02-04T08:25:23Z</dcterms:created>
  <dcterms:modified xsi:type="dcterms:W3CDTF">2026-02-04T08:27:42Z</dcterms:modified>
</cp:coreProperties>
</file>